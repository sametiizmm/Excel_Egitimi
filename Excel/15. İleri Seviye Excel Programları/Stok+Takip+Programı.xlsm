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mreAkyuz\Downloads\"/>
    </mc:Choice>
  </mc:AlternateContent>
  <xr:revisionPtr revIDLastSave="0" documentId="13_ncr:1_{33A40212-C853-42DA-A52F-1439C575DCF1}" xr6:coauthVersionLast="47" xr6:coauthVersionMax="47" xr10:uidLastSave="{00000000-0000-0000-0000-000000000000}"/>
  <bookViews>
    <workbookView xWindow="-108" yWindow="-108" windowWidth="23256" windowHeight="13176" activeTab="3" xr2:uid="{BF1D0283-9B53-4E80-8870-3AC2BD41C1E4}"/>
  </bookViews>
  <sheets>
    <sheet name="Ürünlerim" sheetId="1" r:id="rId1"/>
    <sheet name="Stok Hareketleri" sheetId="2" r:id="rId2"/>
    <sheet name="Sorgu Penceresi" sheetId="3" r:id="rId3"/>
    <sheet name="Rapor" sheetId="4" r:id="rId4"/>
  </sheets>
  <definedNames>
    <definedName name="Dilimleyici_Giriş_Çıkış">#N/A</definedName>
    <definedName name="Urunlerim" localSheetId="3">Tablo1[Ürün Adı]</definedName>
    <definedName name="Urunlerim" localSheetId="2">Tablo1[Ürün Adı]</definedName>
    <definedName name="Urunlerim">Tablo1[Ürün Adı]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" i="1" l="1"/>
  <c r="D8" i="3" a="1"/>
  <c r="D8" i="3" s="1"/>
  <c r="D9" i="3" s="1"/>
  <c r="D7" i="3"/>
  <c r="F10" i="1"/>
  <c r="F9" i="1"/>
  <c r="F8" i="1"/>
  <c r="F7" i="1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<sst xmlns="http://schemas.openxmlformats.org/spreadsheetml/2006/main" count="57" uniqueCount="28">
  <si>
    <t>STOK TAKİP
PROGRAMI</t>
  </si>
  <si>
    <t xml:space="preserve">  ÜRÜNLERİM</t>
  </si>
  <si>
    <t>Ürün Adı</t>
  </si>
  <si>
    <t>Alış Fiyatı</t>
  </si>
  <si>
    <t>Kar Marjı</t>
  </si>
  <si>
    <t>Satış Fiyatı</t>
  </si>
  <si>
    <t>Kritik Stok</t>
  </si>
  <si>
    <t>Ürün 1</t>
  </si>
  <si>
    <t>Ürün 2</t>
  </si>
  <si>
    <t>Ürün 3</t>
  </si>
  <si>
    <t xml:space="preserve">  STOK HAREKETLERİ</t>
  </si>
  <si>
    <t>Tarih</t>
  </si>
  <si>
    <t>Giriş/Çıkış</t>
  </si>
  <si>
    <t>Adet</t>
  </si>
  <si>
    <t>Ürün 4</t>
  </si>
  <si>
    <t>Giriş</t>
  </si>
  <si>
    <t>Çıkış</t>
  </si>
  <si>
    <t xml:space="preserve">  SORGU PENCERESİ</t>
  </si>
  <si>
    <t>Değer</t>
  </si>
  <si>
    <t>Ürün 5</t>
  </si>
  <si>
    <t>Mevcut Stok</t>
  </si>
  <si>
    <t>Toplam Stok Tutarı (TL)</t>
  </si>
  <si>
    <t xml:space="preserve">  RAPOR</t>
  </si>
  <si>
    <t>Satır Etiketleri</t>
  </si>
  <si>
    <t>Genel Toplam</t>
  </si>
  <si>
    <t>Toplam Adet</t>
  </si>
  <si>
    <t>Ürün 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</si>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</sst>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5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164" fontId="0" fillId="0" borderId="0" xfId="0" applyNumberFormat="1"/>
    <xf numFmtId="1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2" xfId="0" applyFont="1" applyFill="1" applyBorder="1"/>
    <xf numFmtId="0" fontId="0" fillId="3" borderId="2" xfId="0" applyFill="1" applyBorder="1"/>
    <xf numFmtId="0" fontId="0" fillId="0" borderId="2" xfId="0" applyBorder="1"/>
    <xf numFmtId="164" fontId="0" fillId="0" borderId="2" xfId="0" applyNumberFormat="1" applyBorder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0"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fill>
        <patternFill patternType="solid">
          <fgColor indexed="64"/>
          <bgColor theme="3" tint="-0.249977111117893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numFmt numFmtId="164" formatCode="&quot;₺&quot;#,##0.00"/>
    </dxf>
    <dxf>
      <numFmt numFmtId="14" formatCode="0.00%"/>
    </dxf>
    <dxf>
      <numFmt numFmtId="164" formatCode="&quot;₺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2"/>
        <scheme val="minor"/>
      </font>
      <fill>
        <patternFill patternType="solid">
          <fgColor indexed="64"/>
          <bgColor theme="3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[Stok+Takip+Programı.xlsm]Rapor!PivotTable2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Rapor!$D$6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1B69-4C26-96D4-E3FD272676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549-4125-8970-F022B0F6C4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549-4125-8970-F022B0F6C4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549-4125-8970-F022B0F6C4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Rapor!$C$7:$C$11</c:f>
              <c:strCache>
                <c:ptCount val="4"/>
                <c:pt idx="0">
                  <c:v>Ürün 1</c:v>
                </c:pt>
                <c:pt idx="1">
                  <c:v>Ürün 3</c:v>
                </c:pt>
                <c:pt idx="2">
                  <c:v>Ürün 2</c:v>
                </c:pt>
                <c:pt idx="3">
                  <c:v>Ürün 6</c:v>
                </c:pt>
              </c:strCache>
            </c:strRef>
          </c:cat>
          <c:val>
            <c:numRef>
              <c:f>Rapor!$D$7:$D$11</c:f>
              <c:numCache>
                <c:formatCode>General</c:formatCode>
                <c:ptCount val="4"/>
                <c:pt idx="0">
                  <c:v>300</c:v>
                </c:pt>
                <c:pt idx="1">
                  <c:v>1100</c:v>
                </c:pt>
                <c:pt idx="2">
                  <c:v>800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9-4C26-96D4-E3FD272676C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tok Hareketleri'!A1"/><Relationship Id="rId2" Type="http://schemas.openxmlformats.org/officeDocument/2006/relationships/hyperlink" Target="#&#220;r&#252;nlerim!A1"/><Relationship Id="rId1" Type="http://schemas.openxmlformats.org/officeDocument/2006/relationships/image" Target="../media/image1.png"/><Relationship Id="rId5" Type="http://schemas.openxmlformats.org/officeDocument/2006/relationships/hyperlink" Target="#Rapor!A1"/><Relationship Id="rId4" Type="http://schemas.openxmlformats.org/officeDocument/2006/relationships/hyperlink" Target="#'Sorgu Penceresi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tok Hareketleri'!A1"/><Relationship Id="rId2" Type="http://schemas.openxmlformats.org/officeDocument/2006/relationships/hyperlink" Target="#&#220;r&#252;nlerim!A1"/><Relationship Id="rId1" Type="http://schemas.openxmlformats.org/officeDocument/2006/relationships/image" Target="../media/image2.png"/><Relationship Id="rId5" Type="http://schemas.openxmlformats.org/officeDocument/2006/relationships/hyperlink" Target="#Rapor!A1"/><Relationship Id="rId4" Type="http://schemas.openxmlformats.org/officeDocument/2006/relationships/hyperlink" Target="#'Sorgu Penceresi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Stok Hareketleri'!A1"/><Relationship Id="rId2" Type="http://schemas.openxmlformats.org/officeDocument/2006/relationships/hyperlink" Target="#&#220;r&#252;nlerim!A1"/><Relationship Id="rId1" Type="http://schemas.openxmlformats.org/officeDocument/2006/relationships/image" Target="../media/image2.png"/><Relationship Id="rId5" Type="http://schemas.openxmlformats.org/officeDocument/2006/relationships/hyperlink" Target="#Rapor!A1"/><Relationship Id="rId4" Type="http://schemas.openxmlformats.org/officeDocument/2006/relationships/hyperlink" Target="#'Sorgu Penceresi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tok Hareketleri'!A1"/><Relationship Id="rId2" Type="http://schemas.openxmlformats.org/officeDocument/2006/relationships/hyperlink" Target="#&#220;r&#252;nlerim!A1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hyperlink" Target="#Rapor!A1"/><Relationship Id="rId4" Type="http://schemas.openxmlformats.org/officeDocument/2006/relationships/hyperlink" Target="#'Sorgu Penceresi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66261</xdr:colOff>
      <xdr:row>0</xdr:row>
      <xdr:rowOff>160564</xdr:rowOff>
    </xdr:from>
    <xdr:to>
      <xdr:col>0</xdr:col>
      <xdr:colOff>1447800</xdr:colOff>
      <xdr:row>3</xdr:row>
      <xdr:rowOff>72887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3AEBA040-71C5-EFB2-8C2E-262F440618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424" r="12395" b="31513"/>
        <a:stretch/>
      </xdr:blipFill>
      <xdr:spPr>
        <a:xfrm>
          <a:off x="66261" y="160564"/>
          <a:ext cx="1381539" cy="467494"/>
        </a:xfrm>
        <a:prstGeom prst="rect">
          <a:avLst/>
        </a:prstGeom>
      </xdr:spPr>
    </xdr:pic>
    <xdr:clientData/>
  </xdr:twoCellAnchor>
  <xdr:twoCellAnchor>
    <xdr:from>
      <xdr:col>0</xdr:col>
      <xdr:colOff>178904</xdr:colOff>
      <xdr:row>8</xdr:row>
      <xdr:rowOff>99392</xdr:rowOff>
    </xdr:from>
    <xdr:to>
      <xdr:col>0</xdr:col>
      <xdr:colOff>1550504</xdr:colOff>
      <xdr:row>10</xdr:row>
      <xdr:rowOff>106018</xdr:rowOff>
    </xdr:to>
    <xdr:sp macro="" textlink="">
      <xdr:nvSpPr>
        <xdr:cNvPr id="4" name="Dikdörtgen: Köşeleri Yuvarlatılmış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96AC54-CA7B-D78A-3154-ADD3D10148B7}"/>
            </a:ext>
          </a:extLst>
        </xdr:cNvPr>
        <xdr:cNvSpPr/>
      </xdr:nvSpPr>
      <xdr:spPr>
        <a:xfrm>
          <a:off x="178904" y="1583635"/>
          <a:ext cx="1371600" cy="3776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178904</xdr:colOff>
      <xdr:row>12</xdr:row>
      <xdr:rowOff>15461</xdr:rowOff>
    </xdr:from>
    <xdr:to>
      <xdr:col>0</xdr:col>
      <xdr:colOff>1550504</xdr:colOff>
      <xdr:row>14</xdr:row>
      <xdr:rowOff>22087</xdr:rowOff>
    </xdr:to>
    <xdr:sp macro="" textlink="">
      <xdr:nvSpPr>
        <xdr:cNvPr id="6" name="Dikdörtgen: Köşeleri Yuvarlatılmış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9A888ED-D6D2-A885-6583-C70035F648BD}"/>
            </a:ext>
          </a:extLst>
        </xdr:cNvPr>
        <xdr:cNvSpPr/>
      </xdr:nvSpPr>
      <xdr:spPr>
        <a:xfrm>
          <a:off x="178904" y="2241826"/>
          <a:ext cx="1371600" cy="3776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Stok Hareketleri</a:t>
          </a:r>
        </a:p>
      </xdr:txBody>
    </xdr:sp>
    <xdr:clientData/>
  </xdr:twoCellAnchor>
  <xdr:twoCellAnchor>
    <xdr:from>
      <xdr:col>0</xdr:col>
      <xdr:colOff>178904</xdr:colOff>
      <xdr:row>15</xdr:row>
      <xdr:rowOff>117060</xdr:rowOff>
    </xdr:from>
    <xdr:to>
      <xdr:col>0</xdr:col>
      <xdr:colOff>1550504</xdr:colOff>
      <xdr:row>17</xdr:row>
      <xdr:rowOff>123687</xdr:rowOff>
    </xdr:to>
    <xdr:sp macro="" textlink="">
      <xdr:nvSpPr>
        <xdr:cNvPr id="7" name="Dikdörtgen: Köşeleri Yuvarlatılmış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9E27E1-7A2E-DCDC-162A-4E380B8D7B28}"/>
            </a:ext>
          </a:extLst>
        </xdr:cNvPr>
        <xdr:cNvSpPr/>
      </xdr:nvSpPr>
      <xdr:spPr>
        <a:xfrm>
          <a:off x="178904" y="2900017"/>
          <a:ext cx="1371600" cy="3776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178904</xdr:colOff>
      <xdr:row>19</xdr:row>
      <xdr:rowOff>33130</xdr:rowOff>
    </xdr:from>
    <xdr:to>
      <xdr:col>0</xdr:col>
      <xdr:colOff>1550504</xdr:colOff>
      <xdr:row>21</xdr:row>
      <xdr:rowOff>39756</xdr:rowOff>
    </xdr:to>
    <xdr:sp macro="" textlink="">
      <xdr:nvSpPr>
        <xdr:cNvPr id="8" name="Dikdörtgen: Köşeleri Yuvarlatılmış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58C6436-8E6D-9B63-A2E1-8F38725AE8AD}"/>
            </a:ext>
          </a:extLst>
        </xdr:cNvPr>
        <xdr:cNvSpPr/>
      </xdr:nvSpPr>
      <xdr:spPr>
        <a:xfrm>
          <a:off x="178904" y="3558208"/>
          <a:ext cx="1371600" cy="3776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Rapor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66262</xdr:colOff>
      <xdr:row>0</xdr:row>
      <xdr:rowOff>163829</xdr:rowOff>
    </xdr:from>
    <xdr:to>
      <xdr:col>0</xdr:col>
      <xdr:colOff>1453516</xdr:colOff>
      <xdr:row>3</xdr:row>
      <xdr:rowOff>72886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674CFDB8-42D5-47E1-B22C-FBBD202E7B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621" r="12032" b="31513"/>
        <a:stretch/>
      </xdr:blipFill>
      <xdr:spPr>
        <a:xfrm>
          <a:off x="66262" y="163829"/>
          <a:ext cx="1387254" cy="465317"/>
        </a:xfrm>
        <a:prstGeom prst="rect">
          <a:avLst/>
        </a:prstGeom>
      </xdr:spPr>
    </xdr:pic>
    <xdr:clientData/>
  </xdr:twoCellAnchor>
  <xdr:twoCellAnchor>
    <xdr:from>
      <xdr:col>0</xdr:col>
      <xdr:colOff>178904</xdr:colOff>
      <xdr:row>8</xdr:row>
      <xdr:rowOff>99392</xdr:rowOff>
    </xdr:from>
    <xdr:to>
      <xdr:col>0</xdr:col>
      <xdr:colOff>1550504</xdr:colOff>
      <xdr:row>10</xdr:row>
      <xdr:rowOff>106018</xdr:rowOff>
    </xdr:to>
    <xdr:sp macro="" textlink="">
      <xdr:nvSpPr>
        <xdr:cNvPr id="3" name="Dikdörtgen: Köşeleri Yuvarlatılmış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F9FFA4-7C93-47D0-B8EB-C8A4D3E2F3C7}"/>
            </a:ext>
          </a:extLst>
        </xdr:cNvPr>
        <xdr:cNvSpPr/>
      </xdr:nvSpPr>
      <xdr:spPr>
        <a:xfrm>
          <a:off x="178904" y="1570052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178904</xdr:colOff>
      <xdr:row>12</xdr:row>
      <xdr:rowOff>15461</xdr:rowOff>
    </xdr:from>
    <xdr:to>
      <xdr:col>0</xdr:col>
      <xdr:colOff>1550504</xdr:colOff>
      <xdr:row>14</xdr:row>
      <xdr:rowOff>22087</xdr:rowOff>
    </xdr:to>
    <xdr:sp macro="" textlink="">
      <xdr:nvSpPr>
        <xdr:cNvPr id="4" name="Dikdörtgen: Köşeleri Yuvarlatılmış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A430B5-143A-454A-AC34-A6BFBE93B541}"/>
            </a:ext>
          </a:extLst>
        </xdr:cNvPr>
        <xdr:cNvSpPr/>
      </xdr:nvSpPr>
      <xdr:spPr>
        <a:xfrm>
          <a:off x="178904" y="2217641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Stok Hareketleri</a:t>
          </a:r>
        </a:p>
      </xdr:txBody>
    </xdr:sp>
    <xdr:clientData/>
  </xdr:twoCellAnchor>
  <xdr:twoCellAnchor>
    <xdr:from>
      <xdr:col>0</xdr:col>
      <xdr:colOff>178904</xdr:colOff>
      <xdr:row>15</xdr:row>
      <xdr:rowOff>117060</xdr:rowOff>
    </xdr:from>
    <xdr:to>
      <xdr:col>0</xdr:col>
      <xdr:colOff>1550504</xdr:colOff>
      <xdr:row>17</xdr:row>
      <xdr:rowOff>123687</xdr:rowOff>
    </xdr:to>
    <xdr:sp macro="" textlink="">
      <xdr:nvSpPr>
        <xdr:cNvPr id="5" name="Dikdörtgen: Köşeleri Yuvarlatılmış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BC86B7-3A4C-45B4-AFA1-DC7A5751F0F7}"/>
            </a:ext>
          </a:extLst>
        </xdr:cNvPr>
        <xdr:cNvSpPr/>
      </xdr:nvSpPr>
      <xdr:spPr>
        <a:xfrm>
          <a:off x="178904" y="2867880"/>
          <a:ext cx="1371600" cy="3723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178904</xdr:colOff>
      <xdr:row>19</xdr:row>
      <xdr:rowOff>33130</xdr:rowOff>
    </xdr:from>
    <xdr:to>
      <xdr:col>0</xdr:col>
      <xdr:colOff>1550504</xdr:colOff>
      <xdr:row>21</xdr:row>
      <xdr:rowOff>39756</xdr:rowOff>
    </xdr:to>
    <xdr:sp macro="" textlink="">
      <xdr:nvSpPr>
        <xdr:cNvPr id="6" name="Dikdörtgen: Köşeleri Yuvarlatılmış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E0885C-B27F-4A3D-AC0E-FBDD22549F6E}"/>
            </a:ext>
          </a:extLst>
        </xdr:cNvPr>
        <xdr:cNvSpPr/>
      </xdr:nvSpPr>
      <xdr:spPr>
        <a:xfrm>
          <a:off x="178904" y="3515470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Rapor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66262</xdr:colOff>
      <xdr:row>0</xdr:row>
      <xdr:rowOff>163829</xdr:rowOff>
    </xdr:from>
    <xdr:to>
      <xdr:col>0</xdr:col>
      <xdr:colOff>1453516</xdr:colOff>
      <xdr:row>3</xdr:row>
      <xdr:rowOff>72886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B5E3658-182E-41B8-8DEE-C2E0EACF3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621" r="12032" b="31513"/>
        <a:stretch/>
      </xdr:blipFill>
      <xdr:spPr>
        <a:xfrm>
          <a:off x="66262" y="163829"/>
          <a:ext cx="1387254" cy="465317"/>
        </a:xfrm>
        <a:prstGeom prst="rect">
          <a:avLst/>
        </a:prstGeom>
      </xdr:spPr>
    </xdr:pic>
    <xdr:clientData/>
  </xdr:twoCellAnchor>
  <xdr:twoCellAnchor>
    <xdr:from>
      <xdr:col>0</xdr:col>
      <xdr:colOff>178904</xdr:colOff>
      <xdr:row>8</xdr:row>
      <xdr:rowOff>99392</xdr:rowOff>
    </xdr:from>
    <xdr:to>
      <xdr:col>0</xdr:col>
      <xdr:colOff>1550504</xdr:colOff>
      <xdr:row>10</xdr:row>
      <xdr:rowOff>106018</xdr:rowOff>
    </xdr:to>
    <xdr:sp macro="" textlink="">
      <xdr:nvSpPr>
        <xdr:cNvPr id="3" name="Dikdörtgen: Köşeleri Yuvarlatılmış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45B608-6D50-4444-A8CA-CD61B43B7234}"/>
            </a:ext>
          </a:extLst>
        </xdr:cNvPr>
        <xdr:cNvSpPr/>
      </xdr:nvSpPr>
      <xdr:spPr>
        <a:xfrm>
          <a:off x="178904" y="1570052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178904</xdr:colOff>
      <xdr:row>12</xdr:row>
      <xdr:rowOff>15461</xdr:rowOff>
    </xdr:from>
    <xdr:to>
      <xdr:col>0</xdr:col>
      <xdr:colOff>1550504</xdr:colOff>
      <xdr:row>14</xdr:row>
      <xdr:rowOff>22087</xdr:rowOff>
    </xdr:to>
    <xdr:sp macro="" textlink="">
      <xdr:nvSpPr>
        <xdr:cNvPr id="4" name="Dikdörtgen: Köşeleri Yuvarlatılmış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5EB35C-0701-4FC9-BF45-BD056461ECF3}"/>
            </a:ext>
          </a:extLst>
        </xdr:cNvPr>
        <xdr:cNvSpPr/>
      </xdr:nvSpPr>
      <xdr:spPr>
        <a:xfrm>
          <a:off x="178904" y="2217641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Stok Hareketleri</a:t>
          </a:r>
        </a:p>
      </xdr:txBody>
    </xdr:sp>
    <xdr:clientData/>
  </xdr:twoCellAnchor>
  <xdr:twoCellAnchor>
    <xdr:from>
      <xdr:col>0</xdr:col>
      <xdr:colOff>178904</xdr:colOff>
      <xdr:row>15</xdr:row>
      <xdr:rowOff>117060</xdr:rowOff>
    </xdr:from>
    <xdr:to>
      <xdr:col>0</xdr:col>
      <xdr:colOff>1550504</xdr:colOff>
      <xdr:row>17</xdr:row>
      <xdr:rowOff>123687</xdr:rowOff>
    </xdr:to>
    <xdr:sp macro="" textlink="">
      <xdr:nvSpPr>
        <xdr:cNvPr id="5" name="Dikdörtgen: Köşeleri Yuvarlatılmış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B16D136-CE30-4EAE-AFCA-AEDC54C9B09A}"/>
            </a:ext>
          </a:extLst>
        </xdr:cNvPr>
        <xdr:cNvSpPr/>
      </xdr:nvSpPr>
      <xdr:spPr>
        <a:xfrm>
          <a:off x="178904" y="2867880"/>
          <a:ext cx="1371600" cy="3723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178904</xdr:colOff>
      <xdr:row>19</xdr:row>
      <xdr:rowOff>33130</xdr:rowOff>
    </xdr:from>
    <xdr:to>
      <xdr:col>0</xdr:col>
      <xdr:colOff>1550504</xdr:colOff>
      <xdr:row>21</xdr:row>
      <xdr:rowOff>39756</xdr:rowOff>
    </xdr:to>
    <xdr:sp macro="" textlink="">
      <xdr:nvSpPr>
        <xdr:cNvPr id="6" name="Dikdörtgen: Köşeleri Yuvarlatılmış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C09DD4-0D89-41B5-BC4F-C0A7960CD2EB}"/>
            </a:ext>
          </a:extLst>
        </xdr:cNvPr>
        <xdr:cNvSpPr/>
      </xdr:nvSpPr>
      <xdr:spPr>
        <a:xfrm>
          <a:off x="178904" y="3515470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Rapor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66262</xdr:colOff>
      <xdr:row>0</xdr:row>
      <xdr:rowOff>163829</xdr:rowOff>
    </xdr:from>
    <xdr:to>
      <xdr:col>0</xdr:col>
      <xdr:colOff>1453516</xdr:colOff>
      <xdr:row>3</xdr:row>
      <xdr:rowOff>72886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12B1F37-E1A0-4785-86FF-AF647981D3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621" r="12032" b="31513"/>
        <a:stretch/>
      </xdr:blipFill>
      <xdr:spPr>
        <a:xfrm>
          <a:off x="66262" y="163829"/>
          <a:ext cx="1387254" cy="465317"/>
        </a:xfrm>
        <a:prstGeom prst="rect">
          <a:avLst/>
        </a:prstGeom>
      </xdr:spPr>
    </xdr:pic>
    <xdr:clientData/>
  </xdr:twoCellAnchor>
  <xdr:twoCellAnchor>
    <xdr:from>
      <xdr:col>0</xdr:col>
      <xdr:colOff>178904</xdr:colOff>
      <xdr:row>8</xdr:row>
      <xdr:rowOff>99392</xdr:rowOff>
    </xdr:from>
    <xdr:to>
      <xdr:col>0</xdr:col>
      <xdr:colOff>1550504</xdr:colOff>
      <xdr:row>10</xdr:row>
      <xdr:rowOff>106018</xdr:rowOff>
    </xdr:to>
    <xdr:sp macro="" textlink="">
      <xdr:nvSpPr>
        <xdr:cNvPr id="3" name="Dikdörtgen: Köşeleri Yuvarlatılmış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B3D1CC-2E16-4245-A189-C5886A877E53}"/>
            </a:ext>
          </a:extLst>
        </xdr:cNvPr>
        <xdr:cNvSpPr/>
      </xdr:nvSpPr>
      <xdr:spPr>
        <a:xfrm>
          <a:off x="178904" y="1570052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178904</xdr:colOff>
      <xdr:row>12</xdr:row>
      <xdr:rowOff>15461</xdr:rowOff>
    </xdr:from>
    <xdr:to>
      <xdr:col>0</xdr:col>
      <xdr:colOff>1550504</xdr:colOff>
      <xdr:row>14</xdr:row>
      <xdr:rowOff>22087</xdr:rowOff>
    </xdr:to>
    <xdr:sp macro="" textlink="">
      <xdr:nvSpPr>
        <xdr:cNvPr id="4" name="Dikdörtgen: Köşeleri Yuvarlatılmış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1A34E5-13F6-48E3-A2FF-569B4BC1E191}"/>
            </a:ext>
          </a:extLst>
        </xdr:cNvPr>
        <xdr:cNvSpPr/>
      </xdr:nvSpPr>
      <xdr:spPr>
        <a:xfrm>
          <a:off x="178904" y="2217641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Stok Hareketleri</a:t>
          </a:r>
        </a:p>
      </xdr:txBody>
    </xdr:sp>
    <xdr:clientData/>
  </xdr:twoCellAnchor>
  <xdr:twoCellAnchor>
    <xdr:from>
      <xdr:col>0</xdr:col>
      <xdr:colOff>178904</xdr:colOff>
      <xdr:row>15</xdr:row>
      <xdr:rowOff>117060</xdr:rowOff>
    </xdr:from>
    <xdr:to>
      <xdr:col>0</xdr:col>
      <xdr:colOff>1550504</xdr:colOff>
      <xdr:row>17</xdr:row>
      <xdr:rowOff>123687</xdr:rowOff>
    </xdr:to>
    <xdr:sp macro="" textlink="">
      <xdr:nvSpPr>
        <xdr:cNvPr id="5" name="Dikdörtgen: Köşeleri Yuvarlatılmış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2C185A-179A-4443-B430-77C5846A9A2D}"/>
            </a:ext>
          </a:extLst>
        </xdr:cNvPr>
        <xdr:cNvSpPr/>
      </xdr:nvSpPr>
      <xdr:spPr>
        <a:xfrm>
          <a:off x="178904" y="2867880"/>
          <a:ext cx="1371600" cy="37238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Sorgu Penceresi</a:t>
          </a:r>
        </a:p>
      </xdr:txBody>
    </xdr:sp>
    <xdr:clientData/>
  </xdr:twoCellAnchor>
  <xdr:twoCellAnchor>
    <xdr:from>
      <xdr:col>0</xdr:col>
      <xdr:colOff>178904</xdr:colOff>
      <xdr:row>19</xdr:row>
      <xdr:rowOff>33130</xdr:rowOff>
    </xdr:from>
    <xdr:to>
      <xdr:col>0</xdr:col>
      <xdr:colOff>1550504</xdr:colOff>
      <xdr:row>21</xdr:row>
      <xdr:rowOff>39756</xdr:rowOff>
    </xdr:to>
    <xdr:sp macro="" textlink="">
      <xdr:nvSpPr>
        <xdr:cNvPr id="6" name="Dikdörtgen: Köşeleri Yuvarlatılmış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854F12-A57E-4C3F-8CAA-9D55BF93E79A}"/>
            </a:ext>
          </a:extLst>
        </xdr:cNvPr>
        <xdr:cNvSpPr/>
      </xdr:nvSpPr>
      <xdr:spPr>
        <a:xfrm>
          <a:off x="178904" y="3515470"/>
          <a:ext cx="1371600" cy="3723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Rapor</a:t>
          </a:r>
        </a:p>
      </xdr:txBody>
    </xdr:sp>
    <xdr:clientData/>
  </xdr:twoCellAnchor>
  <xdr:twoCellAnchor editAs="oneCell">
    <xdr:from>
      <xdr:col>7</xdr:col>
      <xdr:colOff>364103</xdr:colOff>
      <xdr:row>3</xdr:row>
      <xdr:rowOff>180562</xdr:rowOff>
    </xdr:from>
    <xdr:to>
      <xdr:col>10</xdr:col>
      <xdr:colOff>549965</xdr:colOff>
      <xdr:row>9</xdr:row>
      <xdr:rowOff>6626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Giriş/Çıkış">
              <a:extLst>
                <a:ext uri="{FF2B5EF4-FFF2-40B4-BE49-F238E27FC236}">
                  <a16:creationId xmlns:a16="http://schemas.microsoft.com/office/drawing/2014/main" id="{2A3C1D72-CD0A-4212-1C6D-056B13B9C0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iriş/Çıkı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2625" y="743779"/>
              <a:ext cx="2014662" cy="9392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6</xdr:col>
      <xdr:colOff>59635</xdr:colOff>
      <xdr:row>10</xdr:row>
      <xdr:rowOff>53009</xdr:rowOff>
    </xdr:from>
    <xdr:to>
      <xdr:col>13</xdr:col>
      <xdr:colOff>218661</xdr:colOff>
      <xdr:row>25</xdr:row>
      <xdr:rowOff>13252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8950734B-22CA-E775-1EFA-6514AEC1B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178904</xdr:colOff>
      <xdr:row>22</xdr:row>
      <xdr:rowOff>152399</xdr:rowOff>
    </xdr:from>
    <xdr:to>
      <xdr:col>0</xdr:col>
      <xdr:colOff>1550504</xdr:colOff>
      <xdr:row>24</xdr:row>
      <xdr:rowOff>159025</xdr:rowOff>
    </xdr:to>
    <xdr:sp macro="[0]!Makro4" textlink="">
      <xdr:nvSpPr>
        <xdr:cNvPr id="10" name="Dikdörtgen: Köşeleri Yuvarlatılmış 9">
          <a:extLst>
            <a:ext uri="{FF2B5EF4-FFF2-40B4-BE49-F238E27FC236}">
              <a16:creationId xmlns:a16="http://schemas.microsoft.com/office/drawing/2014/main" id="{870A398D-5C29-31F8-410D-8CBCBA1FF068}"/>
            </a:ext>
          </a:extLst>
        </xdr:cNvPr>
        <xdr:cNvSpPr/>
      </xdr:nvSpPr>
      <xdr:spPr>
        <a:xfrm>
          <a:off x="178904" y="4240695"/>
          <a:ext cx="1371600" cy="37768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YENİLE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reAkyuz" refreshedDate="44719.556245138891" createdVersion="8" refreshedVersion="8" minRefreshableVersion="3" recordCount="10" xr:uid="{42648C3A-D45D-426F-9DA6-F1606DAD4032}">
  <cacheSource type="worksheet">
    <worksheetSource name="Tablo3"/>
  </cacheSource>
  <cacheFields count="4">
    <cacheField name="Tarih" numFmtId="14">
      <sharedItems containsSemiMixedTypes="0" containsNonDate="0" containsDate="1" containsString="0" minDate="2022-07-08T00:00:00" maxDate="2022-07-16T00:00:00"/>
    </cacheField>
    <cacheField name="Ürün Adı" numFmtId="0">
      <sharedItems count="5">
        <s v="Ürün 4"/>
        <s v="Ürün 1"/>
        <s v="Ürün 3"/>
        <s v="Ürün 2"/>
        <s v="Ürün 6"/>
      </sharedItems>
    </cacheField>
    <cacheField name="Giriş/Çıkış" numFmtId="0">
      <sharedItems count="2">
        <s v="Giriş"/>
        <s v="Çıkış"/>
      </sharedItems>
    </cacheField>
    <cacheField name="Adet" numFmtId="0">
      <sharedItems containsSemiMixedTypes="0" containsString="0" containsNumber="1" containsInteger="1" minValue="20" maxValue="1100"/>
    </cacheField>
  </cacheFields>
  <extLst>
    <ext xmlns:x14="http://schemas.microsoft.com/office/spreadsheetml/2009/9/main" uri="{725AE2AE-9491-48be-B2B4-4EB974FC3084}">
      <x14:pivotCacheDefinition pivotCacheId="115412736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2-07-08T00:00:00"/>
    <x v="0"/>
    <x v="0"/>
    <n v="100"/>
  </r>
  <r>
    <d v="2022-07-09T00:00:00"/>
    <x v="1"/>
    <x v="0"/>
    <n v="600"/>
  </r>
  <r>
    <d v="2022-07-09T00:00:00"/>
    <x v="2"/>
    <x v="0"/>
    <n v="800"/>
  </r>
  <r>
    <d v="2022-07-09T00:00:00"/>
    <x v="2"/>
    <x v="1"/>
    <n v="1100"/>
  </r>
  <r>
    <d v="2022-07-10T00:00:00"/>
    <x v="2"/>
    <x v="0"/>
    <n v="500"/>
  </r>
  <r>
    <d v="2022-07-11T00:00:00"/>
    <x v="1"/>
    <x v="1"/>
    <n v="300"/>
  </r>
  <r>
    <d v="2022-07-12T00:00:00"/>
    <x v="3"/>
    <x v="0"/>
    <n v="700"/>
  </r>
  <r>
    <d v="2022-07-12T00:00:00"/>
    <x v="3"/>
    <x v="1"/>
    <n v="800"/>
  </r>
  <r>
    <d v="2022-07-15T00:00:00"/>
    <x v="4"/>
    <x v="0"/>
    <n v="150"/>
  </r>
  <r>
    <d v="2022-07-15T00:00:00"/>
    <x v="4"/>
    <x v="1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298353-70DD-44A8-B6D7-B78C9A21B659}" name="PivotTable2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5">
  <location ref="C6:D11" firstHeaderRow="1" firstDataRow="1" firstDataCol="1"/>
  <pivotFields count="4">
    <pivotField numFmtId="14"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>
      <items count="3">
        <item x="1"/>
        <item h="1" x="0"/>
        <item t="default"/>
      </items>
    </pivotField>
    <pivotField dataField="1" showAll="0"/>
  </pivotFields>
  <rowFields count="1">
    <field x="1"/>
  </rowFields>
  <rowItems count="5">
    <i>
      <x/>
    </i>
    <i>
      <x v="1"/>
    </i>
    <i>
      <x v="3"/>
    </i>
    <i>
      <x v="4"/>
    </i>
    <i t="grand">
      <x/>
    </i>
  </rowItems>
  <colItems count="1">
    <i/>
  </colItems>
  <dataFields count="1">
    <dataField name="Toplam Adet" fld="3" baseField="0" baseItem="0"/>
  </dataFields>
  <chartFormats count="5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Giriş_Çıkış" xr10:uid="{35B90E77-4FB4-4A21-A7EB-5B6B1F6DF296}" sourceName="Giriş/Çıkış">
  <pivotTables>
    <pivotTable tabId="4" name="PivotTable2"/>
  </pivotTables>
  <data>
    <tabular pivotCacheId="1154127369">
      <items count="2">
        <i x="1" s="1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iriş/Çıkış" xr10:uid="{CB3B434A-DC70-44FE-A06C-D7568370DC84}" cache="Dilimleyici_Giriş_Çıkış" caption="Giriş/Çıkış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DE1DB4-AFD2-4E18-8BA3-B4DDE507185B}" name="Tablo1" displayName="Tablo1" ref="C5:G11" totalsRowShown="0" headerRowDxfId="9">
  <autoFilter ref="C5:G11" xr:uid="{E0DE1DB4-AFD2-4E18-8BA3-B4DDE507185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900DD1F-164B-47E2-9246-4A326CACDE12}" name="Ürün Adı"/>
    <tableColumn id="2" xr3:uid="{4D87D9AD-8DC6-4D8E-A01E-41EAE62E2A89}" name="Alış Fiyatı" dataDxfId="8"/>
    <tableColumn id="3" xr3:uid="{D5073B3D-AB99-48D7-82B3-C8E2F52FD632}" name="Kar Marjı" dataDxfId="7"/>
    <tableColumn id="4" xr3:uid="{DB4639E9-12E3-4DFD-B0BD-740B770505D5}" name="Satış Fiyatı" dataDxfId="6">
      <calculatedColumnFormula>D6*E6+D6</calculatedColumnFormula>
    </tableColumn>
    <tableColumn id="5" xr3:uid="{EEAF53B3-A428-4DB0-835D-9F7285ECF79D}" name="Kritik Stok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3E3A3D-4970-4937-97A5-7FABD2F18B1E}" name="Tablo3" displayName="Tablo3" ref="C5:F15" totalsRowShown="0" headerRowDxfId="3">
  <autoFilter ref="C5:F15" xr:uid="{4D3E3A3D-4970-4937-97A5-7FABD2F18B1E}">
    <filterColumn colId="0" hiddenButton="1"/>
    <filterColumn colId="1" hiddenButton="1"/>
    <filterColumn colId="2" hiddenButton="1"/>
    <filterColumn colId="3" hiddenButton="1"/>
  </autoFilter>
  <tableColumns count="4">
    <tableColumn id="1" xr3:uid="{25C5C9E3-BE31-4A4A-8344-EEB0CA5E2E91}" name="Tarih" dataDxfId="2"/>
    <tableColumn id="2" xr3:uid="{7392195E-5618-4C8F-AFB1-F6030E19384C}" name="Ürün Adı"/>
    <tableColumn id="3" xr3:uid="{7BDE5AD8-DF15-4C90-9FF2-0373E269DB8A}" name="Giriş/Çıkış"/>
    <tableColumn id="4" xr3:uid="{04B6D6FB-0141-4712-94FC-52C2A4D9CB26}" name="Ade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F85B7-AFA4-4FDF-9F2C-32816D4EA912}">
  <dimension ref="A2:G11"/>
  <sheetViews>
    <sheetView showGridLines="0" zoomScale="280" zoomScaleNormal="280" workbookViewId="0">
      <selection activeCell="B1" sqref="B1"/>
    </sheetView>
  </sheetViews>
  <sheetFormatPr defaultRowHeight="14.4" x14ac:dyDescent="0.3"/>
  <cols>
    <col min="1" max="1" width="24.21875" style="1" customWidth="1"/>
    <col min="2" max="2" width="6.77734375" customWidth="1"/>
    <col min="3" max="3" width="10.88671875" customWidth="1"/>
    <col min="4" max="4" width="10.44140625" customWidth="1"/>
    <col min="5" max="5" width="10" customWidth="1"/>
    <col min="6" max="6" width="11.44140625" customWidth="1"/>
    <col min="7" max="7" width="11" customWidth="1"/>
  </cols>
  <sheetData>
    <row r="2" spans="1:7" x14ac:dyDescent="0.3">
      <c r="C2" s="14" t="s">
        <v>1</v>
      </c>
      <c r="D2" s="15"/>
      <c r="E2" s="15"/>
      <c r="F2" s="15"/>
    </row>
    <row r="3" spans="1:7" ht="15" thickBot="1" x14ac:dyDescent="0.35">
      <c r="C3" s="16"/>
      <c r="D3" s="16"/>
      <c r="E3" s="16"/>
      <c r="F3" s="16"/>
    </row>
    <row r="5" spans="1:7" x14ac:dyDescent="0.3">
      <c r="A5" s="12" t="s">
        <v>0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</row>
    <row r="6" spans="1:7" x14ac:dyDescent="0.3">
      <c r="A6" s="13"/>
      <c r="C6" t="s">
        <v>7</v>
      </c>
      <c r="D6" s="2">
        <v>100</v>
      </c>
      <c r="E6" s="3">
        <v>0.6</v>
      </c>
      <c r="F6" s="2">
        <f t="shared" ref="F6:F11" si="0">D6*E6+D6</f>
        <v>160</v>
      </c>
      <c r="G6">
        <v>100</v>
      </c>
    </row>
    <row r="7" spans="1:7" x14ac:dyDescent="0.3">
      <c r="A7" s="13"/>
      <c r="C7" t="s">
        <v>8</v>
      </c>
      <c r="D7" s="2">
        <v>150</v>
      </c>
      <c r="E7" s="3">
        <v>1</v>
      </c>
      <c r="F7" s="2">
        <f t="shared" si="0"/>
        <v>300</v>
      </c>
      <c r="G7">
        <v>50</v>
      </c>
    </row>
    <row r="8" spans="1:7" x14ac:dyDescent="0.3">
      <c r="C8" t="s">
        <v>9</v>
      </c>
      <c r="D8" s="2">
        <v>60</v>
      </c>
      <c r="E8" s="3">
        <v>2</v>
      </c>
      <c r="F8" s="2">
        <f t="shared" si="0"/>
        <v>180</v>
      </c>
      <c r="G8">
        <v>250</v>
      </c>
    </row>
    <row r="9" spans="1:7" x14ac:dyDescent="0.3">
      <c r="C9" t="s">
        <v>14</v>
      </c>
      <c r="D9" s="2">
        <v>250</v>
      </c>
      <c r="E9" s="3">
        <v>0.48</v>
      </c>
      <c r="F9" s="2">
        <f t="shared" si="0"/>
        <v>370</v>
      </c>
      <c r="G9">
        <v>50</v>
      </c>
    </row>
    <row r="10" spans="1:7" x14ac:dyDescent="0.3">
      <c r="C10" t="s">
        <v>19</v>
      </c>
      <c r="D10" s="2">
        <v>300</v>
      </c>
      <c r="E10" s="3">
        <v>0.38</v>
      </c>
      <c r="F10" s="2">
        <f t="shared" si="0"/>
        <v>414</v>
      </c>
      <c r="G10">
        <v>150</v>
      </c>
    </row>
    <row r="11" spans="1:7" x14ac:dyDescent="0.3">
      <c r="C11" t="s">
        <v>26</v>
      </c>
      <c r="D11" s="2">
        <v>400</v>
      </c>
      <c r="E11" s="3">
        <v>1.5</v>
      </c>
      <c r="F11" s="2">
        <f t="shared" si="0"/>
        <v>1000</v>
      </c>
      <c r="G11">
        <v>50</v>
      </c>
    </row>
  </sheetData>
  <mergeCells count="2">
    <mergeCell ref="A5:A7"/>
    <mergeCell ref="C2:F3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F01A1-7291-4FFB-B61D-2C981C5FF3C9}">
  <dimension ref="A2:F15"/>
  <sheetViews>
    <sheetView showGridLines="0" zoomScale="115" zoomScaleNormal="115" workbookViewId="0"/>
  </sheetViews>
  <sheetFormatPr defaultRowHeight="14.4" x14ac:dyDescent="0.3"/>
  <cols>
    <col min="1" max="1" width="24.21875" style="1" customWidth="1"/>
    <col min="2" max="2" width="6.77734375" customWidth="1"/>
    <col min="3" max="3" width="10.88671875" customWidth="1"/>
    <col min="4" max="4" width="10.44140625" customWidth="1"/>
    <col min="5" max="5" width="10.77734375" customWidth="1"/>
    <col min="6" max="6" width="11.44140625" customWidth="1"/>
    <col min="7" max="7" width="11" customWidth="1"/>
  </cols>
  <sheetData>
    <row r="2" spans="1:6" x14ac:dyDescent="0.3">
      <c r="C2" s="14" t="s">
        <v>10</v>
      </c>
      <c r="D2" s="15"/>
      <c r="E2" s="15"/>
      <c r="F2" s="15"/>
    </row>
    <row r="3" spans="1:6" ht="15" thickBot="1" x14ac:dyDescent="0.35">
      <c r="C3" s="16"/>
      <c r="D3" s="16"/>
      <c r="E3" s="16"/>
      <c r="F3" s="16"/>
    </row>
    <row r="5" spans="1:6" x14ac:dyDescent="0.3">
      <c r="A5" s="12" t="s">
        <v>0</v>
      </c>
      <c r="C5" s="1" t="s">
        <v>11</v>
      </c>
      <c r="D5" s="1" t="s">
        <v>2</v>
      </c>
      <c r="E5" s="1" t="s">
        <v>12</v>
      </c>
      <c r="F5" s="1" t="s">
        <v>13</v>
      </c>
    </row>
    <row r="6" spans="1:6" x14ac:dyDescent="0.3">
      <c r="A6" s="13"/>
      <c r="C6" s="4">
        <v>44750</v>
      </c>
      <c r="D6" t="s">
        <v>14</v>
      </c>
      <c r="E6" t="s">
        <v>15</v>
      </c>
      <c r="F6">
        <v>100</v>
      </c>
    </row>
    <row r="7" spans="1:6" x14ac:dyDescent="0.3">
      <c r="A7" s="13"/>
      <c r="C7" s="4">
        <v>44751</v>
      </c>
      <c r="D7" t="s">
        <v>7</v>
      </c>
      <c r="E7" t="s">
        <v>15</v>
      </c>
      <c r="F7">
        <v>600</v>
      </c>
    </row>
    <row r="8" spans="1:6" x14ac:dyDescent="0.3">
      <c r="C8" s="4">
        <v>44751</v>
      </c>
      <c r="D8" t="s">
        <v>9</v>
      </c>
      <c r="E8" t="s">
        <v>15</v>
      </c>
      <c r="F8">
        <v>800</v>
      </c>
    </row>
    <row r="9" spans="1:6" x14ac:dyDescent="0.3">
      <c r="C9" s="4">
        <v>44751</v>
      </c>
      <c r="D9" t="s">
        <v>9</v>
      </c>
      <c r="E9" t="s">
        <v>16</v>
      </c>
      <c r="F9">
        <v>1100</v>
      </c>
    </row>
    <row r="10" spans="1:6" x14ac:dyDescent="0.3">
      <c r="C10" s="4">
        <v>44752</v>
      </c>
      <c r="D10" t="s">
        <v>9</v>
      </c>
      <c r="E10" t="s">
        <v>15</v>
      </c>
      <c r="F10">
        <v>500</v>
      </c>
    </row>
    <row r="11" spans="1:6" x14ac:dyDescent="0.3">
      <c r="C11" s="4">
        <v>44753</v>
      </c>
      <c r="D11" t="s">
        <v>7</v>
      </c>
      <c r="E11" t="s">
        <v>16</v>
      </c>
      <c r="F11">
        <v>300</v>
      </c>
    </row>
    <row r="12" spans="1:6" x14ac:dyDescent="0.3">
      <c r="C12" s="4">
        <v>44754</v>
      </c>
      <c r="D12" t="s">
        <v>8</v>
      </c>
      <c r="E12" t="s">
        <v>15</v>
      </c>
      <c r="F12">
        <v>700</v>
      </c>
    </row>
    <row r="13" spans="1:6" x14ac:dyDescent="0.3">
      <c r="C13" s="4">
        <v>44754</v>
      </c>
      <c r="D13" t="s">
        <v>8</v>
      </c>
      <c r="E13" t="s">
        <v>16</v>
      </c>
      <c r="F13">
        <v>800</v>
      </c>
    </row>
    <row r="14" spans="1:6" x14ac:dyDescent="0.3">
      <c r="C14" s="4">
        <v>44757</v>
      </c>
      <c r="D14" t="s">
        <v>26</v>
      </c>
      <c r="E14" t="s">
        <v>15</v>
      </c>
      <c r="F14">
        <v>150</v>
      </c>
    </row>
    <row r="15" spans="1:6" x14ac:dyDescent="0.3">
      <c r="C15" s="4">
        <v>44757</v>
      </c>
      <c r="D15" t="s">
        <v>26</v>
      </c>
      <c r="E15" t="s">
        <v>16</v>
      </c>
      <c r="F15">
        <v>20</v>
      </c>
    </row>
  </sheetData>
  <mergeCells count="2">
    <mergeCell ref="C2:F3"/>
    <mergeCell ref="A5:A7"/>
  </mergeCells>
  <conditionalFormatting sqref="F6:F15">
    <cfRule type="expression" dxfId="5" priority="2">
      <formula>$E6="Giriş"</formula>
    </cfRule>
    <cfRule type="expression" dxfId="4" priority="1">
      <formula>$E6="Çıkış"</formula>
    </cfRule>
  </conditionalFormatting>
  <dataValidations count="2">
    <dataValidation type="list" allowBlank="1" showInputMessage="1" showErrorMessage="1" sqref="D6:D15" xr:uid="{20AEC641-7A90-4ACB-985C-ECF4F195CA3D}">
      <formula1>Urunlerim</formula1>
    </dataValidation>
    <dataValidation type="list" allowBlank="1" showInputMessage="1" showErrorMessage="1" sqref="E6:E15" xr:uid="{D82AEA40-3F9D-4229-A3E2-A708365B6300}">
      <formula1>"Giriş,Çıkış"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E530B-9ACA-4E28-AA9D-3D03C9BA9129}">
  <dimension ref="A2:F9"/>
  <sheetViews>
    <sheetView showGridLines="0" zoomScale="115" zoomScaleNormal="115" workbookViewId="0">
      <selection activeCell="A15" sqref="A15"/>
    </sheetView>
  </sheetViews>
  <sheetFormatPr defaultRowHeight="14.4" x14ac:dyDescent="0.3"/>
  <cols>
    <col min="1" max="1" width="24.21875" style="1" customWidth="1"/>
    <col min="2" max="2" width="6.77734375" customWidth="1"/>
    <col min="3" max="3" width="21.77734375" customWidth="1"/>
    <col min="4" max="4" width="12.33203125" customWidth="1"/>
    <col min="5" max="5" width="10.77734375" customWidth="1"/>
    <col min="6" max="6" width="11.44140625" customWidth="1"/>
    <col min="7" max="7" width="11" customWidth="1"/>
  </cols>
  <sheetData>
    <row r="2" spans="1:6" x14ac:dyDescent="0.3">
      <c r="C2" s="14" t="s">
        <v>17</v>
      </c>
      <c r="D2" s="15"/>
      <c r="E2" s="15"/>
      <c r="F2" s="15"/>
    </row>
    <row r="3" spans="1:6" ht="15" thickBot="1" x14ac:dyDescent="0.35">
      <c r="C3" s="16"/>
      <c r="D3" s="16"/>
      <c r="E3" s="16"/>
      <c r="F3" s="16"/>
    </row>
    <row r="5" spans="1:6" x14ac:dyDescent="0.3">
      <c r="A5" s="12" t="s">
        <v>0</v>
      </c>
      <c r="C5" s="8" t="s">
        <v>27</v>
      </c>
      <c r="D5" s="8" t="s">
        <v>18</v>
      </c>
    </row>
    <row r="6" spans="1:6" x14ac:dyDescent="0.3">
      <c r="A6" s="13"/>
      <c r="C6" s="9" t="s">
        <v>2</v>
      </c>
      <c r="D6" s="9" t="s">
        <v>26</v>
      </c>
    </row>
    <row r="7" spans="1:6" x14ac:dyDescent="0.3">
      <c r="A7" s="13"/>
      <c r="C7" s="10" t="s">
        <v>6</v>
      </c>
      <c r="D7" s="10">
        <f>VLOOKUP(D6,Tablo1[#All],5,0)</f>
        <v>50</v>
      </c>
    </row>
    <row r="8" spans="1:6" x14ac:dyDescent="0.3">
      <c r="C8" s="10" t="s">
        <v>20</v>
      </c>
      <c r="D8" s="10" cm="1">
        <f t="array" ref="D8">SUM(IF(Tablo3[Ürün Adı]='Sorgu Penceresi'!D6,IF(Tablo3[Giriş/Çıkış]="Giriş",Tablo3[Adet])))-SUM(IF(Tablo3[Ürün Adı]='Sorgu Penceresi'!D6,IF(Tablo3[Giriş/Çıkış]="Çıkış",Tablo3[Adet])))</f>
        <v>130</v>
      </c>
    </row>
    <row r="9" spans="1:6" x14ac:dyDescent="0.3">
      <c r="C9" s="10" t="s">
        <v>21</v>
      </c>
      <c r="D9" s="11">
        <f>VLOOKUP(D6,Tablo1[#All],4,0)*D8</f>
        <v>130000</v>
      </c>
    </row>
  </sheetData>
  <mergeCells count="2">
    <mergeCell ref="C2:F3"/>
    <mergeCell ref="A5:A7"/>
  </mergeCells>
  <conditionalFormatting sqref="D8">
    <cfRule type="expression" dxfId="1" priority="2">
      <formula>$D$8&lt;$D$7</formula>
    </cfRule>
    <cfRule type="expression" dxfId="0" priority="1">
      <formula>$D$8&lt;$D$7</formula>
    </cfRule>
  </conditionalFormatting>
  <dataValidations count="1">
    <dataValidation type="list" allowBlank="1" showInputMessage="1" showErrorMessage="1" sqref="D6" xr:uid="{FB1C06E2-C94D-4748-84A4-EF355F08BD55}">
      <formula1>Urunlerim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B1164-728A-4BB7-8A3A-410774E29197}">
  <dimension ref="A2:F11"/>
  <sheetViews>
    <sheetView showGridLines="0" tabSelected="1" zoomScale="115" zoomScaleNormal="115" workbookViewId="0">
      <selection activeCell="D20" sqref="D20"/>
    </sheetView>
  </sheetViews>
  <sheetFormatPr defaultRowHeight="14.4" x14ac:dyDescent="0.3"/>
  <cols>
    <col min="1" max="1" width="24.21875" style="1" customWidth="1"/>
    <col min="2" max="2" width="6.77734375" customWidth="1"/>
    <col min="3" max="3" width="14.77734375" bestFit="1" customWidth="1"/>
    <col min="4" max="4" width="11.77734375" bestFit="1" customWidth="1"/>
    <col min="5" max="5" width="10.77734375" customWidth="1"/>
    <col min="6" max="6" width="11.44140625" customWidth="1"/>
    <col min="7" max="7" width="11" customWidth="1"/>
  </cols>
  <sheetData>
    <row r="2" spans="1:6" x14ac:dyDescent="0.3">
      <c r="C2" s="14" t="s">
        <v>22</v>
      </c>
      <c r="D2" s="15"/>
      <c r="E2" s="15"/>
      <c r="F2" s="15"/>
    </row>
    <row r="3" spans="1:6" ht="15" thickBot="1" x14ac:dyDescent="0.35">
      <c r="C3" s="16"/>
      <c r="D3" s="16"/>
      <c r="E3" s="16"/>
      <c r="F3" s="16"/>
    </row>
    <row r="5" spans="1:6" x14ac:dyDescent="0.3">
      <c r="A5" s="12" t="s">
        <v>0</v>
      </c>
    </row>
    <row r="6" spans="1:6" x14ac:dyDescent="0.3">
      <c r="A6" s="13"/>
      <c r="C6" s="5" t="s">
        <v>23</v>
      </c>
      <c r="D6" t="s">
        <v>25</v>
      </c>
    </row>
    <row r="7" spans="1:6" x14ac:dyDescent="0.3">
      <c r="A7" s="13"/>
      <c r="C7" s="6" t="s">
        <v>7</v>
      </c>
      <c r="D7" s="7">
        <v>300</v>
      </c>
    </row>
    <row r="8" spans="1:6" x14ac:dyDescent="0.3">
      <c r="C8" s="6" t="s">
        <v>9</v>
      </c>
      <c r="D8" s="7">
        <v>1100</v>
      </c>
    </row>
    <row r="9" spans="1:6" x14ac:dyDescent="0.3">
      <c r="C9" s="6" t="s">
        <v>8</v>
      </c>
      <c r="D9" s="7">
        <v>800</v>
      </c>
    </row>
    <row r="10" spans="1:6" x14ac:dyDescent="0.3">
      <c r="C10" s="6" t="s">
        <v>26</v>
      </c>
      <c r="D10" s="7">
        <v>20</v>
      </c>
    </row>
    <row r="11" spans="1:6" x14ac:dyDescent="0.3">
      <c r="C11" s="6" t="s">
        <v>24</v>
      </c>
      <c r="D11" s="7">
        <v>2220</v>
      </c>
    </row>
  </sheetData>
  <mergeCells count="2">
    <mergeCell ref="C2:F3"/>
    <mergeCell ref="A5:A7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3</vt:i4>
      </vt:variant>
    </vt:vector>
  </HeadingPairs>
  <TitlesOfParts>
    <vt:vector size="7" baseType="lpstr">
      <vt:lpstr>Ürünlerim</vt:lpstr>
      <vt:lpstr>Stok Hareketleri</vt:lpstr>
      <vt:lpstr>Sorgu Penceresi</vt:lpstr>
      <vt:lpstr>Rapor</vt:lpstr>
      <vt:lpstr>Rapor!Urunlerim</vt:lpstr>
      <vt:lpstr>'Sorgu Penceresi'!Urunlerim</vt:lpstr>
      <vt:lpstr>Urunlerim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EmreAkyuz</dc:creator>
  <cp:lastModifiedBy>EmreAkyuz</cp:lastModifiedBy>
  <dcterms:created xsi:type="dcterms:W3CDTF">2022-06-07T08:21:25Z</dcterms:created>
  <dcterms:modified xsi:type="dcterms:W3CDTF">2022-06-13T08:54:35Z</dcterms:modified>
</cp:coreProperties>
</file>