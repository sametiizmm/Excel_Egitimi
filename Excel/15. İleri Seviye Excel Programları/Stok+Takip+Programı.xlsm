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et\Documents\GitHub\Excel_Egitimi\Excel\15. İleri Seviye Excel Programları\"/>
    </mc:Choice>
  </mc:AlternateContent>
  <xr:revisionPtr revIDLastSave="0" documentId="13_ncr:1_{D5D19A8F-4B85-4CC3-8667-A216AAA21D14}" xr6:coauthVersionLast="47" xr6:coauthVersionMax="47" xr10:uidLastSave="{00000000-0000-0000-0000-000000000000}"/>
  <bookViews>
    <workbookView xWindow="-120" yWindow="-120" windowWidth="29040" windowHeight="15840" activeTab="3" xr2:uid="{9542F7C8-6DE6-416E-84DD-3AA07586538D}"/>
  </bookViews>
  <sheets>
    <sheet name="Ürünlerim" sheetId="1" r:id="rId1"/>
    <sheet name="Stok Hareketlerim" sheetId="3" r:id="rId2"/>
    <sheet name="Sorgu Penceresi" sheetId="4" r:id="rId3"/>
    <sheet name="Rapor" sheetId="5" r:id="rId4"/>
  </sheets>
  <definedNames>
    <definedName name="Dilimleyici_Giriş___Çıkış">#N/A</definedName>
    <definedName name="Ürünlerim" localSheetId="3">Tablo1[Ürün Adı]</definedName>
    <definedName name="Ürünlerim" localSheetId="2">Tablo1[Ürün Adı]</definedName>
    <definedName name="Ürünlerim">Tablo1[Ürün Adı]</definedName>
  </definedNames>
  <calcPr calcId="191029"/>
  <pivotCaches>
    <pivotCache cacheId="5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4" l="1"/>
  <c r="F11" i="1"/>
  <c r="D8" i="4" a="1"/>
  <c r="D8" i="4" s="1"/>
  <c r="D7" i="4"/>
  <c r="F10" i="1"/>
  <c r="F9" i="1"/>
  <c r="F8" i="1"/>
  <c r="F7" i="1"/>
  <c r="F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<sst xmlns="http://schemas.openxmlformats.org/spreadsheetml/2006/main" count="58" uniqueCount="28">
  <si>
    <t>STOK TAKİP 
PROGRAMI</t>
  </si>
  <si>
    <t>ÜRÜNLERİM</t>
  </si>
  <si>
    <t>Ürün Adı</t>
  </si>
  <si>
    <t>Satış Fiyatı</t>
  </si>
  <si>
    <t>Kar Marjı</t>
  </si>
  <si>
    <t>Kritik Stok</t>
  </si>
  <si>
    <t>Ürün 1</t>
  </si>
  <si>
    <t>Ürün 2</t>
  </si>
  <si>
    <t>Ürün 3</t>
  </si>
  <si>
    <t>STOK HAREKETLERİ</t>
  </si>
  <si>
    <t>Tarih</t>
  </si>
  <si>
    <t>Giriş / Çıkış</t>
  </si>
  <si>
    <t>Adet</t>
  </si>
  <si>
    <t>Ürün 4</t>
  </si>
  <si>
    <t>Giriş</t>
  </si>
  <si>
    <t>Çıkış</t>
  </si>
  <si>
    <t>SORGU PENCERESİ</t>
  </si>
  <si>
    <t>Sorgu Tipi</t>
  </si>
  <si>
    <t>Değer</t>
  </si>
  <si>
    <t>Ürün 5</t>
  </si>
  <si>
    <t>Mevcut Stok</t>
  </si>
  <si>
    <t>Alış Fiyatı</t>
  </si>
  <si>
    <t>Toplam Stok Tutarı (TL)</t>
  </si>
  <si>
    <t>RAPOR</t>
  </si>
  <si>
    <t>Satır Etiketleri</t>
  </si>
  <si>
    <t>Genel Toplam</t>
  </si>
  <si>
    <t>Toplam Adet</t>
  </si>
  <si>
    <t>Ürün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</si>
</sst>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.00"/>
  </numFmts>
  <fonts count="4" x14ac:knownFonts="1">
    <font>
      <sz val="11"/>
      <color theme="1"/>
      <name val="Aptos Narrow"/>
      <family val="2"/>
      <charset val="162"/>
      <scheme val="minor"/>
    </font>
    <font>
      <b/>
      <sz val="16"/>
      <color theme="0"/>
      <name val="Aptos Narrow"/>
      <family val="2"/>
      <scheme val="minor"/>
    </font>
    <font>
      <sz val="11"/>
      <color theme="0"/>
      <name val="Aptos Narrow"/>
      <family val="2"/>
      <charset val="162"/>
      <scheme val="minor"/>
    </font>
    <font>
      <b/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9" fontId="0" fillId="0" borderId="0" xfId="0" applyNumberFormat="1"/>
    <xf numFmtId="164" fontId="0" fillId="0" borderId="0" xfId="0" applyNumberFormat="1"/>
    <xf numFmtId="0" fontId="2" fillId="2" borderId="0" xfId="0" applyFont="1" applyFill="1"/>
    <xf numFmtId="14" fontId="0" fillId="0" borderId="0" xfId="0" applyNumberFormat="1"/>
    <xf numFmtId="0" fontId="0" fillId="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0" fillId="0" borderId="0" xfId="0" applyNumberFormat="1"/>
  </cellXfs>
  <cellStyles count="1">
    <cellStyle name="Normal" xfId="0" builtinId="0"/>
  </cellStyles>
  <dxfs count="9">
    <dxf>
      <font>
        <b/>
        <i val="0"/>
        <color theme="0"/>
      </font>
      <fill>
        <patternFill>
          <bgColor rgb="FFFF0000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162"/>
        <scheme val="minor"/>
      </font>
      <fill>
        <patternFill patternType="solid">
          <fgColor indexed="64"/>
          <bgColor theme="4" tint="-0.499984740745262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C000"/>
        </patternFill>
      </fill>
    </dxf>
    <dxf>
      <numFmt numFmtId="164" formatCode="&quot;₺&quot;#,##0.00"/>
    </dxf>
    <dxf>
      <numFmt numFmtId="13" formatCode="0%"/>
    </dxf>
    <dxf>
      <numFmt numFmtId="164" formatCode="&quot;₺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162"/>
        <scheme val="minor"/>
      </font>
      <fill>
        <patternFill patternType="solid">
          <fgColor indexed="64"/>
          <bgColor theme="4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[Stok+Takip+Programı.xlsm]Rapor!PivotTable1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in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Rapor!$D$6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F3C-4671-834A-2DD49EE285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F3C-4671-834A-2DD49EE285A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F3C-4671-834A-2DD49EE285A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F3C-4671-834A-2DD49EE285A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B51-4D3D-AB30-42791FF0D4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Rapor!$C$7:$C$12</c:f>
              <c:strCache>
                <c:ptCount val="5"/>
                <c:pt idx="0">
                  <c:v>Ürün 1</c:v>
                </c:pt>
                <c:pt idx="1">
                  <c:v>Ürün 2</c:v>
                </c:pt>
                <c:pt idx="2">
                  <c:v>Ürün 3</c:v>
                </c:pt>
                <c:pt idx="3">
                  <c:v>Ürün 4</c:v>
                </c:pt>
                <c:pt idx="4">
                  <c:v>Ürün 6</c:v>
                </c:pt>
              </c:strCache>
            </c:strRef>
          </c:cat>
          <c:val>
            <c:numRef>
              <c:f>Rapor!$D$7:$D$12</c:f>
              <c:numCache>
                <c:formatCode>General</c:formatCode>
                <c:ptCount val="5"/>
                <c:pt idx="0">
                  <c:v>900</c:v>
                </c:pt>
                <c:pt idx="1">
                  <c:v>900</c:v>
                </c:pt>
                <c:pt idx="2">
                  <c:v>2400</c:v>
                </c:pt>
                <c:pt idx="3">
                  <c:v>100</c:v>
                </c:pt>
                <c:pt idx="4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D6-453F-BD65-4EA47682840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tok Hareketlerim'!A1"/><Relationship Id="rId2" Type="http://schemas.openxmlformats.org/officeDocument/2006/relationships/hyperlink" Target="#&#220;R&#220;NLER&#304;M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apor!A1"/><Relationship Id="rId2" Type="http://schemas.openxmlformats.org/officeDocument/2006/relationships/hyperlink" Target="#'Sorgu Penceresi'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Rapor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hyperlink" Target="#&#220;R&#220;NLER&#304;M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11463</xdr:rowOff>
    </xdr:from>
    <xdr:to>
      <xdr:col>0</xdr:col>
      <xdr:colOff>1695451</xdr:colOff>
      <xdr:row>3</xdr:row>
      <xdr:rowOff>20292</xdr:rowOff>
    </xdr:to>
    <xdr:pic>
      <xdr:nvPicPr>
        <xdr:cNvPr id="6" name="Resim 5">
          <a:extLst>
            <a:ext uri="{FF2B5EF4-FFF2-40B4-BE49-F238E27FC236}">
              <a16:creationId xmlns:a16="http://schemas.microsoft.com/office/drawing/2014/main" id="{072B500C-BB9F-99BD-066B-4D984288B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1463"/>
          <a:ext cx="1695450" cy="588612"/>
        </a:xfrm>
        <a:prstGeom prst="rect">
          <a:avLst/>
        </a:prstGeom>
      </xdr:spPr>
    </xdr:pic>
    <xdr:clientData/>
  </xdr:twoCellAnchor>
  <xdr:twoCellAnchor>
    <xdr:from>
      <xdr:col>0</xdr:col>
      <xdr:colOff>238124</xdr:colOff>
      <xdr:row>8</xdr:row>
      <xdr:rowOff>9525</xdr:rowOff>
    </xdr:from>
    <xdr:to>
      <xdr:col>0</xdr:col>
      <xdr:colOff>1495425</xdr:colOff>
      <xdr:row>10</xdr:row>
      <xdr:rowOff>19050</xdr:rowOff>
    </xdr:to>
    <xdr:sp macro="" textlink="">
      <xdr:nvSpPr>
        <xdr:cNvPr id="12" name="Dikdörtgen: Köşeleri Yuvarlatılmış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900A2FF-3D7B-1B74-FAE3-D381F384BF2D}"/>
            </a:ext>
          </a:extLst>
        </xdr:cNvPr>
        <xdr:cNvSpPr/>
      </xdr:nvSpPr>
      <xdr:spPr>
        <a:xfrm>
          <a:off x="238124" y="1533525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Ürünlerim</a:t>
          </a:r>
        </a:p>
      </xdr:txBody>
    </xdr:sp>
    <xdr:clientData/>
  </xdr:twoCellAnchor>
  <xdr:twoCellAnchor>
    <xdr:from>
      <xdr:col>0</xdr:col>
      <xdr:colOff>238124</xdr:colOff>
      <xdr:row>11</xdr:row>
      <xdr:rowOff>38100</xdr:rowOff>
    </xdr:from>
    <xdr:to>
      <xdr:col>0</xdr:col>
      <xdr:colOff>1495425</xdr:colOff>
      <xdr:row>13</xdr:row>
      <xdr:rowOff>47625</xdr:rowOff>
    </xdr:to>
    <xdr:sp macro="" textlink="">
      <xdr:nvSpPr>
        <xdr:cNvPr id="13" name="Dikdörtgen: Köşeleri Yuvarlatılmış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186487-6222-EF9B-75AC-DA76DF38778E}"/>
            </a:ext>
          </a:extLst>
        </xdr:cNvPr>
        <xdr:cNvSpPr/>
      </xdr:nvSpPr>
      <xdr:spPr>
        <a:xfrm>
          <a:off x="238124" y="2133600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Stok</a:t>
          </a:r>
          <a:r>
            <a:rPr lang="tr-TR" sz="1200" b="1" baseline="0">
              <a:solidFill>
                <a:sysClr val="windowText" lastClr="000000"/>
              </a:solidFill>
            </a:rPr>
            <a:t> Hareketleri</a:t>
          </a:r>
          <a:endParaRPr lang="tr-T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238124</xdr:colOff>
      <xdr:row>14</xdr:row>
      <xdr:rowOff>66675</xdr:rowOff>
    </xdr:from>
    <xdr:to>
      <xdr:col>0</xdr:col>
      <xdr:colOff>1495425</xdr:colOff>
      <xdr:row>16</xdr:row>
      <xdr:rowOff>76200</xdr:rowOff>
    </xdr:to>
    <xdr:sp macro="" textlink="">
      <xdr:nvSpPr>
        <xdr:cNvPr id="14" name="Dikdörtgen: Köşeleri Yuvarlatılmış 13">
          <a:extLst>
            <a:ext uri="{FF2B5EF4-FFF2-40B4-BE49-F238E27FC236}">
              <a16:creationId xmlns:a16="http://schemas.microsoft.com/office/drawing/2014/main" id="{09248D1C-7DB5-8242-03FC-DF414FC6446C}"/>
            </a:ext>
          </a:extLst>
        </xdr:cNvPr>
        <xdr:cNvSpPr/>
      </xdr:nvSpPr>
      <xdr:spPr>
        <a:xfrm>
          <a:off x="238124" y="2733675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Sorgu Penceresi</a:t>
          </a:r>
        </a:p>
      </xdr:txBody>
    </xdr:sp>
    <xdr:clientData/>
  </xdr:twoCellAnchor>
  <xdr:twoCellAnchor>
    <xdr:from>
      <xdr:col>0</xdr:col>
      <xdr:colOff>238124</xdr:colOff>
      <xdr:row>17</xdr:row>
      <xdr:rowOff>95250</xdr:rowOff>
    </xdr:from>
    <xdr:to>
      <xdr:col>0</xdr:col>
      <xdr:colOff>1495425</xdr:colOff>
      <xdr:row>19</xdr:row>
      <xdr:rowOff>104775</xdr:rowOff>
    </xdr:to>
    <xdr:sp macro="" textlink="">
      <xdr:nvSpPr>
        <xdr:cNvPr id="15" name="Dikdörtgen: Köşeleri Yuvarlatılmış 14">
          <a:extLst>
            <a:ext uri="{FF2B5EF4-FFF2-40B4-BE49-F238E27FC236}">
              <a16:creationId xmlns:a16="http://schemas.microsoft.com/office/drawing/2014/main" id="{FEFEA0A2-2A10-3DD8-1360-52C9E0CBEF07}"/>
            </a:ext>
          </a:extLst>
        </xdr:cNvPr>
        <xdr:cNvSpPr/>
      </xdr:nvSpPr>
      <xdr:spPr>
        <a:xfrm>
          <a:off x="238124" y="3333750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Rapor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11463</xdr:rowOff>
    </xdr:from>
    <xdr:to>
      <xdr:col>0</xdr:col>
      <xdr:colOff>1695451</xdr:colOff>
      <xdr:row>3</xdr:row>
      <xdr:rowOff>20292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AC038BFE-39C7-4626-A00C-8A3EBD954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1463"/>
          <a:ext cx="1695450" cy="589854"/>
        </a:xfrm>
        <a:prstGeom prst="rect">
          <a:avLst/>
        </a:prstGeom>
      </xdr:spPr>
    </xdr:pic>
    <xdr:clientData/>
  </xdr:twoCellAnchor>
  <xdr:twoCellAnchor>
    <xdr:from>
      <xdr:col>0</xdr:col>
      <xdr:colOff>238124</xdr:colOff>
      <xdr:row>8</xdr:row>
      <xdr:rowOff>9525</xdr:rowOff>
    </xdr:from>
    <xdr:to>
      <xdr:col>0</xdr:col>
      <xdr:colOff>1495425</xdr:colOff>
      <xdr:row>10</xdr:row>
      <xdr:rowOff>19050</xdr:rowOff>
    </xdr:to>
    <xdr:sp macro="" textlink="">
      <xdr:nvSpPr>
        <xdr:cNvPr id="3" name="Dikdörtgen: Köşeleri Yuvarlatılmış 2">
          <a:extLst>
            <a:ext uri="{FF2B5EF4-FFF2-40B4-BE49-F238E27FC236}">
              <a16:creationId xmlns:a16="http://schemas.microsoft.com/office/drawing/2014/main" id="{D5D0CB3F-F054-4717-BE21-C4188A5F1858}"/>
            </a:ext>
          </a:extLst>
        </xdr:cNvPr>
        <xdr:cNvSpPr/>
      </xdr:nvSpPr>
      <xdr:spPr>
        <a:xfrm>
          <a:off x="238124" y="1543050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Ürünlerim</a:t>
          </a:r>
        </a:p>
      </xdr:txBody>
    </xdr:sp>
    <xdr:clientData/>
  </xdr:twoCellAnchor>
  <xdr:twoCellAnchor>
    <xdr:from>
      <xdr:col>0</xdr:col>
      <xdr:colOff>238124</xdr:colOff>
      <xdr:row>11</xdr:row>
      <xdr:rowOff>38100</xdr:rowOff>
    </xdr:from>
    <xdr:to>
      <xdr:col>0</xdr:col>
      <xdr:colOff>1495425</xdr:colOff>
      <xdr:row>13</xdr:row>
      <xdr:rowOff>47625</xdr:rowOff>
    </xdr:to>
    <xdr:sp macro="" textlink="">
      <xdr:nvSpPr>
        <xdr:cNvPr id="4" name="Dikdörtgen: Köşeleri Yuvarlatılmış 3">
          <a:extLst>
            <a:ext uri="{FF2B5EF4-FFF2-40B4-BE49-F238E27FC236}">
              <a16:creationId xmlns:a16="http://schemas.microsoft.com/office/drawing/2014/main" id="{65291B34-3AC3-4A20-8469-1DFEC61DB8C6}"/>
            </a:ext>
          </a:extLst>
        </xdr:cNvPr>
        <xdr:cNvSpPr/>
      </xdr:nvSpPr>
      <xdr:spPr>
        <a:xfrm>
          <a:off x="238124" y="2143125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Stok</a:t>
          </a:r>
          <a:r>
            <a:rPr lang="tr-TR" sz="1200" b="1" baseline="0">
              <a:solidFill>
                <a:sysClr val="windowText" lastClr="000000"/>
              </a:solidFill>
            </a:rPr>
            <a:t> Hareketleri</a:t>
          </a:r>
          <a:endParaRPr lang="tr-T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238124</xdr:colOff>
      <xdr:row>14</xdr:row>
      <xdr:rowOff>66675</xdr:rowOff>
    </xdr:from>
    <xdr:to>
      <xdr:col>0</xdr:col>
      <xdr:colOff>1495425</xdr:colOff>
      <xdr:row>16</xdr:row>
      <xdr:rowOff>76200</xdr:rowOff>
    </xdr:to>
    <xdr:sp macro="" textlink="">
      <xdr:nvSpPr>
        <xdr:cNvPr id="5" name="Dikdörtgen: Köşeleri Yuvarlatılmış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B3FF8F5-1EB8-47FA-8B01-D07F74A9809E}"/>
            </a:ext>
          </a:extLst>
        </xdr:cNvPr>
        <xdr:cNvSpPr/>
      </xdr:nvSpPr>
      <xdr:spPr>
        <a:xfrm>
          <a:off x="238124" y="2743200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Sorgu Penceresi</a:t>
          </a:r>
        </a:p>
      </xdr:txBody>
    </xdr:sp>
    <xdr:clientData/>
  </xdr:twoCellAnchor>
  <xdr:twoCellAnchor>
    <xdr:from>
      <xdr:col>0</xdr:col>
      <xdr:colOff>238124</xdr:colOff>
      <xdr:row>17</xdr:row>
      <xdr:rowOff>95250</xdr:rowOff>
    </xdr:from>
    <xdr:to>
      <xdr:col>0</xdr:col>
      <xdr:colOff>1495425</xdr:colOff>
      <xdr:row>19</xdr:row>
      <xdr:rowOff>104775</xdr:rowOff>
    </xdr:to>
    <xdr:sp macro="" textlink="">
      <xdr:nvSpPr>
        <xdr:cNvPr id="6" name="Dikdörtgen: Köşeleri Yuvarlatılmış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BD2C640-7A28-40EF-8D23-69EAD4DF1936}"/>
            </a:ext>
          </a:extLst>
        </xdr:cNvPr>
        <xdr:cNvSpPr/>
      </xdr:nvSpPr>
      <xdr:spPr>
        <a:xfrm>
          <a:off x="238124" y="3343275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Rapor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11463</xdr:rowOff>
    </xdr:from>
    <xdr:to>
      <xdr:col>0</xdr:col>
      <xdr:colOff>1695451</xdr:colOff>
      <xdr:row>3</xdr:row>
      <xdr:rowOff>20292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1A15B1B-19BA-4BCB-B9D9-D1A394BA0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1463"/>
          <a:ext cx="1695450" cy="589854"/>
        </a:xfrm>
        <a:prstGeom prst="rect">
          <a:avLst/>
        </a:prstGeom>
      </xdr:spPr>
    </xdr:pic>
    <xdr:clientData/>
  </xdr:twoCellAnchor>
  <xdr:twoCellAnchor>
    <xdr:from>
      <xdr:col>0</xdr:col>
      <xdr:colOff>238124</xdr:colOff>
      <xdr:row>8</xdr:row>
      <xdr:rowOff>9525</xdr:rowOff>
    </xdr:from>
    <xdr:to>
      <xdr:col>0</xdr:col>
      <xdr:colOff>1495425</xdr:colOff>
      <xdr:row>10</xdr:row>
      <xdr:rowOff>19050</xdr:rowOff>
    </xdr:to>
    <xdr:sp macro="" textlink="">
      <xdr:nvSpPr>
        <xdr:cNvPr id="3" name="Dikdörtgen: Köşeleri Yuvarlatılmış 2">
          <a:extLst>
            <a:ext uri="{FF2B5EF4-FFF2-40B4-BE49-F238E27FC236}">
              <a16:creationId xmlns:a16="http://schemas.microsoft.com/office/drawing/2014/main" id="{4E9C944D-24CE-49DF-AD52-72A44C29A95B}"/>
            </a:ext>
          </a:extLst>
        </xdr:cNvPr>
        <xdr:cNvSpPr/>
      </xdr:nvSpPr>
      <xdr:spPr>
        <a:xfrm>
          <a:off x="238124" y="1543050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Ürünlerim</a:t>
          </a:r>
        </a:p>
      </xdr:txBody>
    </xdr:sp>
    <xdr:clientData/>
  </xdr:twoCellAnchor>
  <xdr:twoCellAnchor>
    <xdr:from>
      <xdr:col>0</xdr:col>
      <xdr:colOff>238124</xdr:colOff>
      <xdr:row>11</xdr:row>
      <xdr:rowOff>38100</xdr:rowOff>
    </xdr:from>
    <xdr:to>
      <xdr:col>0</xdr:col>
      <xdr:colOff>1495425</xdr:colOff>
      <xdr:row>13</xdr:row>
      <xdr:rowOff>47625</xdr:rowOff>
    </xdr:to>
    <xdr:sp macro="" textlink="">
      <xdr:nvSpPr>
        <xdr:cNvPr id="4" name="Dikdörtgen: Köşeleri Yuvarlatılmış 3">
          <a:extLst>
            <a:ext uri="{FF2B5EF4-FFF2-40B4-BE49-F238E27FC236}">
              <a16:creationId xmlns:a16="http://schemas.microsoft.com/office/drawing/2014/main" id="{AD9795EE-8E3A-4BDB-83AD-17F280824318}"/>
            </a:ext>
          </a:extLst>
        </xdr:cNvPr>
        <xdr:cNvSpPr/>
      </xdr:nvSpPr>
      <xdr:spPr>
        <a:xfrm>
          <a:off x="238124" y="2143125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Stok</a:t>
          </a:r>
          <a:r>
            <a:rPr lang="tr-TR" sz="1200" b="1" baseline="0">
              <a:solidFill>
                <a:sysClr val="windowText" lastClr="000000"/>
              </a:solidFill>
            </a:rPr>
            <a:t> Hareketleri</a:t>
          </a:r>
          <a:endParaRPr lang="tr-T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238124</xdr:colOff>
      <xdr:row>14</xdr:row>
      <xdr:rowOff>66675</xdr:rowOff>
    </xdr:from>
    <xdr:to>
      <xdr:col>0</xdr:col>
      <xdr:colOff>1495425</xdr:colOff>
      <xdr:row>16</xdr:row>
      <xdr:rowOff>76200</xdr:rowOff>
    </xdr:to>
    <xdr:sp macro="" textlink="">
      <xdr:nvSpPr>
        <xdr:cNvPr id="5" name="Dikdörtgen: Köşeleri Yuvarlatılmış 4">
          <a:extLst>
            <a:ext uri="{FF2B5EF4-FFF2-40B4-BE49-F238E27FC236}">
              <a16:creationId xmlns:a16="http://schemas.microsoft.com/office/drawing/2014/main" id="{09C2BD17-5372-484D-8E13-2AE830D5908A}"/>
            </a:ext>
          </a:extLst>
        </xdr:cNvPr>
        <xdr:cNvSpPr/>
      </xdr:nvSpPr>
      <xdr:spPr>
        <a:xfrm>
          <a:off x="238124" y="2743200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Sorgu Penceresi</a:t>
          </a:r>
        </a:p>
      </xdr:txBody>
    </xdr:sp>
    <xdr:clientData/>
  </xdr:twoCellAnchor>
  <xdr:twoCellAnchor>
    <xdr:from>
      <xdr:col>0</xdr:col>
      <xdr:colOff>238124</xdr:colOff>
      <xdr:row>17</xdr:row>
      <xdr:rowOff>95250</xdr:rowOff>
    </xdr:from>
    <xdr:to>
      <xdr:col>0</xdr:col>
      <xdr:colOff>1495425</xdr:colOff>
      <xdr:row>19</xdr:row>
      <xdr:rowOff>104775</xdr:rowOff>
    </xdr:to>
    <xdr:sp macro="" textlink="">
      <xdr:nvSpPr>
        <xdr:cNvPr id="6" name="Dikdörtgen: Köşeleri Yuvarlatılmış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DDF943-A609-4160-9C78-8DF443B024F3}"/>
            </a:ext>
          </a:extLst>
        </xdr:cNvPr>
        <xdr:cNvSpPr/>
      </xdr:nvSpPr>
      <xdr:spPr>
        <a:xfrm>
          <a:off x="238124" y="3343275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Rapor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11463</xdr:rowOff>
    </xdr:from>
    <xdr:to>
      <xdr:col>0</xdr:col>
      <xdr:colOff>1695451</xdr:colOff>
      <xdr:row>3</xdr:row>
      <xdr:rowOff>20292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96F5A0B9-CCDE-4648-A4BA-5F4F5C614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1463"/>
          <a:ext cx="1695450" cy="589854"/>
        </a:xfrm>
        <a:prstGeom prst="rect">
          <a:avLst/>
        </a:prstGeom>
      </xdr:spPr>
    </xdr:pic>
    <xdr:clientData/>
  </xdr:twoCellAnchor>
  <xdr:twoCellAnchor>
    <xdr:from>
      <xdr:col>0</xdr:col>
      <xdr:colOff>238124</xdr:colOff>
      <xdr:row>8</xdr:row>
      <xdr:rowOff>9525</xdr:rowOff>
    </xdr:from>
    <xdr:to>
      <xdr:col>0</xdr:col>
      <xdr:colOff>1495425</xdr:colOff>
      <xdr:row>10</xdr:row>
      <xdr:rowOff>19050</xdr:rowOff>
    </xdr:to>
    <xdr:sp macro="" textlink="">
      <xdr:nvSpPr>
        <xdr:cNvPr id="3" name="Dikdörtgen: Köşeleri Yuvarlatılmış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C50001-C206-484A-A11E-356282102643}"/>
            </a:ext>
          </a:extLst>
        </xdr:cNvPr>
        <xdr:cNvSpPr/>
      </xdr:nvSpPr>
      <xdr:spPr>
        <a:xfrm>
          <a:off x="238124" y="1543050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Ürünlerim</a:t>
          </a:r>
        </a:p>
      </xdr:txBody>
    </xdr:sp>
    <xdr:clientData/>
  </xdr:twoCellAnchor>
  <xdr:twoCellAnchor>
    <xdr:from>
      <xdr:col>0</xdr:col>
      <xdr:colOff>238124</xdr:colOff>
      <xdr:row>11</xdr:row>
      <xdr:rowOff>35097</xdr:rowOff>
    </xdr:from>
    <xdr:to>
      <xdr:col>0</xdr:col>
      <xdr:colOff>1495425</xdr:colOff>
      <xdr:row>13</xdr:row>
      <xdr:rowOff>44622</xdr:rowOff>
    </xdr:to>
    <xdr:sp macro="" textlink="">
      <xdr:nvSpPr>
        <xdr:cNvPr id="4" name="Dikdörtgen: Köşeleri Yuvarlatılmış 3">
          <a:extLst>
            <a:ext uri="{FF2B5EF4-FFF2-40B4-BE49-F238E27FC236}">
              <a16:creationId xmlns:a16="http://schemas.microsoft.com/office/drawing/2014/main" id="{189EB814-5667-4157-A9E2-0F53ADBAF1CF}"/>
            </a:ext>
          </a:extLst>
        </xdr:cNvPr>
        <xdr:cNvSpPr/>
      </xdr:nvSpPr>
      <xdr:spPr>
        <a:xfrm>
          <a:off x="238124" y="2138880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Stok</a:t>
          </a:r>
          <a:r>
            <a:rPr lang="tr-TR" sz="1200" b="1" baseline="0">
              <a:solidFill>
                <a:sysClr val="windowText" lastClr="000000"/>
              </a:solidFill>
            </a:rPr>
            <a:t> Hareketleri</a:t>
          </a:r>
          <a:endParaRPr lang="tr-T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238124</xdr:colOff>
      <xdr:row>14</xdr:row>
      <xdr:rowOff>60669</xdr:rowOff>
    </xdr:from>
    <xdr:to>
      <xdr:col>0</xdr:col>
      <xdr:colOff>1495425</xdr:colOff>
      <xdr:row>16</xdr:row>
      <xdr:rowOff>70194</xdr:rowOff>
    </xdr:to>
    <xdr:sp macro="" textlink="">
      <xdr:nvSpPr>
        <xdr:cNvPr id="5" name="Dikdörtgen: Köşeleri Yuvarlatılmış 4">
          <a:extLst>
            <a:ext uri="{FF2B5EF4-FFF2-40B4-BE49-F238E27FC236}">
              <a16:creationId xmlns:a16="http://schemas.microsoft.com/office/drawing/2014/main" id="{A66B8466-A670-43EC-931C-AAD68DF073BD}"/>
            </a:ext>
          </a:extLst>
        </xdr:cNvPr>
        <xdr:cNvSpPr/>
      </xdr:nvSpPr>
      <xdr:spPr>
        <a:xfrm>
          <a:off x="238124" y="2735952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Sorgu Penceresi</a:t>
          </a:r>
        </a:p>
      </xdr:txBody>
    </xdr:sp>
    <xdr:clientData/>
  </xdr:twoCellAnchor>
  <xdr:twoCellAnchor>
    <xdr:from>
      <xdr:col>0</xdr:col>
      <xdr:colOff>238124</xdr:colOff>
      <xdr:row>17</xdr:row>
      <xdr:rowOff>86241</xdr:rowOff>
    </xdr:from>
    <xdr:to>
      <xdr:col>0</xdr:col>
      <xdr:colOff>1495425</xdr:colOff>
      <xdr:row>19</xdr:row>
      <xdr:rowOff>95766</xdr:rowOff>
    </xdr:to>
    <xdr:sp macro="" textlink="">
      <xdr:nvSpPr>
        <xdr:cNvPr id="6" name="Dikdörtgen: Köşeleri Yuvarlatılmış 5">
          <a:extLst>
            <a:ext uri="{FF2B5EF4-FFF2-40B4-BE49-F238E27FC236}">
              <a16:creationId xmlns:a16="http://schemas.microsoft.com/office/drawing/2014/main" id="{AABDE4CE-D0F6-4BEB-B6C0-DAEC308B1F56}"/>
            </a:ext>
          </a:extLst>
        </xdr:cNvPr>
        <xdr:cNvSpPr/>
      </xdr:nvSpPr>
      <xdr:spPr>
        <a:xfrm>
          <a:off x="238124" y="3333024"/>
          <a:ext cx="1257301" cy="3905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Rapor</a:t>
          </a:r>
        </a:p>
      </xdr:txBody>
    </xdr:sp>
    <xdr:clientData/>
  </xdr:twoCellAnchor>
  <xdr:twoCellAnchor editAs="oneCell">
    <xdr:from>
      <xdr:col>2</xdr:col>
      <xdr:colOff>62535</xdr:colOff>
      <xdr:row>12</xdr:row>
      <xdr:rowOff>134590</xdr:rowOff>
    </xdr:from>
    <xdr:to>
      <xdr:col>4</xdr:col>
      <xdr:colOff>41413</xdr:colOff>
      <xdr:row>17</xdr:row>
      <xdr:rowOff>182215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Giriş / Çıkış">
              <a:extLst>
                <a:ext uri="{FF2B5EF4-FFF2-40B4-BE49-F238E27FC236}">
                  <a16:creationId xmlns:a16="http://schemas.microsoft.com/office/drawing/2014/main" id="{AE088E36-40A8-0069-4727-B2A9D1D9EF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iriş / Çıkı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81665" y="2428873"/>
              <a:ext cx="1875596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5</xdr:col>
      <xdr:colOff>281608</xdr:colOff>
      <xdr:row>5</xdr:row>
      <xdr:rowOff>19877</xdr:rowOff>
    </xdr:from>
    <xdr:to>
      <xdr:col>12</xdr:col>
      <xdr:colOff>132521</xdr:colOff>
      <xdr:row>19</xdr:row>
      <xdr:rowOff>96077</xdr:rowOff>
    </xdr:to>
    <xdr:graphicFrame macro="">
      <xdr:nvGraphicFramePr>
        <xdr:cNvPr id="9" name="Grafik 8">
          <a:extLst>
            <a:ext uri="{FF2B5EF4-FFF2-40B4-BE49-F238E27FC236}">
              <a16:creationId xmlns:a16="http://schemas.microsoft.com/office/drawing/2014/main" id="{1CCEB893-0489-FB41-325A-CE25022752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238124</xdr:colOff>
      <xdr:row>20</xdr:row>
      <xdr:rowOff>111815</xdr:rowOff>
    </xdr:from>
    <xdr:to>
      <xdr:col>0</xdr:col>
      <xdr:colOff>1495425</xdr:colOff>
      <xdr:row>22</xdr:row>
      <xdr:rowOff>121340</xdr:rowOff>
    </xdr:to>
    <xdr:sp macro="[0]!Makro1" textlink="">
      <xdr:nvSpPr>
        <xdr:cNvPr id="10" name="Dikdörtgen: Köşeleri Yuvarlatılmış 9">
          <a:extLst>
            <a:ext uri="{FF2B5EF4-FFF2-40B4-BE49-F238E27FC236}">
              <a16:creationId xmlns:a16="http://schemas.microsoft.com/office/drawing/2014/main" id="{5A34E48F-5517-211E-C3F9-5B54272A5A68}"/>
            </a:ext>
          </a:extLst>
        </xdr:cNvPr>
        <xdr:cNvSpPr/>
      </xdr:nvSpPr>
      <xdr:spPr>
        <a:xfrm>
          <a:off x="238124" y="3930098"/>
          <a:ext cx="1257301" cy="390525"/>
        </a:xfrm>
        <a:prstGeom prst="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ysClr val="windowText" lastClr="000000"/>
              </a:solidFill>
            </a:rPr>
            <a:t>Yenile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etSemih PC" refreshedDate="45732.239495486108" createdVersion="8" refreshedVersion="8" minRefreshableVersion="3" recordCount="10" xr:uid="{405B76C7-6270-4B2A-B835-1BE197FA9B17}">
  <cacheSource type="worksheet">
    <worksheetSource name="Tablo3"/>
  </cacheSource>
  <cacheFields count="4">
    <cacheField name="Tarih" numFmtId="14">
      <sharedItems containsSemiMixedTypes="0" containsNonDate="0" containsDate="1" containsString="0" minDate="2025-03-13T00:00:00" maxDate="2025-03-20T00:00:00"/>
    </cacheField>
    <cacheField name="Ürün Adı" numFmtId="0">
      <sharedItems count="5">
        <s v="Ürün 4"/>
        <s v="Ürün 1"/>
        <s v="Ürün 3"/>
        <s v="Ürün 2"/>
        <s v="Ürün 6"/>
      </sharedItems>
    </cacheField>
    <cacheField name="Giriş / Çıkış" numFmtId="0">
      <sharedItems count="2">
        <s v="Giriş"/>
        <s v="Çıkış"/>
      </sharedItems>
    </cacheField>
    <cacheField name="Adet" numFmtId="0">
      <sharedItems containsSemiMixedTypes="0" containsString="0" containsNumber="1" containsInteger="1" minValue="20" maxValue="1100"/>
    </cacheField>
  </cacheFields>
  <extLst>
    <ext xmlns:x14="http://schemas.microsoft.com/office/spreadsheetml/2009/9/main" uri="{725AE2AE-9491-48be-B2B4-4EB974FC3084}">
      <x14:pivotCacheDefinition pivotCacheId="92953161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d v="2025-03-13T00:00:00"/>
    <x v="0"/>
    <x v="0"/>
    <n v="100"/>
  </r>
  <r>
    <d v="2025-03-13T00:00:00"/>
    <x v="1"/>
    <x v="0"/>
    <n v="600"/>
  </r>
  <r>
    <d v="2025-03-14T00:00:00"/>
    <x v="2"/>
    <x v="0"/>
    <n v="800"/>
  </r>
  <r>
    <d v="2025-03-15T00:00:00"/>
    <x v="2"/>
    <x v="1"/>
    <n v="1100"/>
  </r>
  <r>
    <d v="2025-03-16T00:00:00"/>
    <x v="2"/>
    <x v="0"/>
    <n v="500"/>
  </r>
  <r>
    <d v="2025-03-16T00:00:00"/>
    <x v="1"/>
    <x v="1"/>
    <n v="300"/>
  </r>
  <r>
    <d v="2025-03-17T00:00:00"/>
    <x v="3"/>
    <x v="0"/>
    <n v="700"/>
  </r>
  <r>
    <d v="2025-03-17T00:00:00"/>
    <x v="3"/>
    <x v="1"/>
    <n v="200"/>
  </r>
  <r>
    <d v="2025-03-18T00:00:00"/>
    <x v="4"/>
    <x v="0"/>
    <n v="150"/>
  </r>
  <r>
    <d v="2025-03-19T00:00:00"/>
    <x v="4"/>
    <x v="1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A1C86-EBB4-4D40-8260-BDF67A4E99D2}" name="PivotTable1" cacheId="5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5">
  <location ref="C6:D12" firstHeaderRow="1" firstDataRow="1" firstDataCol="1"/>
  <pivotFields count="4">
    <pivotField numFmtId="14" showAll="0"/>
    <pivotField axis="axisRow" showAll="0" sortType="ascending">
      <items count="6">
        <item x="1"/>
        <item x="3"/>
        <item x="2"/>
        <item x="0"/>
        <item x="4"/>
        <item t="default"/>
      </items>
    </pivotField>
    <pivotField showAll="0">
      <items count="3">
        <item x="1"/>
        <item x="0"/>
        <item t="default"/>
      </items>
    </pivotField>
    <pivotField dataField="1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Toplam Adet" fld="3" baseField="0" baseItem="0"/>
  </dataFields>
  <chartFormats count="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Giriş___Çıkış" xr10:uid="{AFF72334-A8D1-4592-8536-504D3D402BB2}" sourceName="Giriş / Çıkış">
  <pivotTables>
    <pivotTable tabId="5" name="PivotTable1"/>
  </pivotTables>
  <data>
    <tabular pivotCacheId="929531614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iriş / Çıkış" xr10:uid="{44224DDC-7FE2-4FE9-9002-20F331187F42}" cache="Dilimleyici_Giriş___Çıkış" caption="Giriş / Çıkış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7CFD4E-7D78-4B6F-A12F-2711AF7240E1}" name="Tablo1" displayName="Tablo1" ref="C5:G11" totalsRowShown="0" headerRowDxfId="8">
  <tableColumns count="5">
    <tableColumn id="1" xr3:uid="{D8D34412-AE1B-427F-97F2-C1F1B0E42147}" name="Ürün Adı"/>
    <tableColumn id="2" xr3:uid="{F81F9A86-7D99-4740-AA2C-5B5548076EEC}" name="Alış Fiyatı" dataDxfId="7"/>
    <tableColumn id="3" xr3:uid="{36B103A0-EA30-4C57-8170-3B69BCD424D5}" name="Kar Marjı" dataDxfId="6"/>
    <tableColumn id="4" xr3:uid="{BE0D32D2-3C52-4DD6-8F3C-9E67B8E5CB25}" name="Satış Fiyatı" dataDxfId="5">
      <calculatedColumnFormula>D6*E6+D6</calculatedColumnFormula>
    </tableColumn>
    <tableColumn id="5" xr3:uid="{D3EAE7EE-1BF6-462E-BAE1-5A69C6963CDC}" name="Kritik Stok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EE8292-296D-4A12-9899-EE346867E93E}" name="Tablo3" displayName="Tablo3" ref="C5:F15" totalsRowShown="0" headerRowDxfId="2">
  <autoFilter ref="C5:F15" xr:uid="{48EE8292-296D-4A12-9899-EE346867E93E}">
    <filterColumn colId="0" hiddenButton="1"/>
    <filterColumn colId="1" hiddenButton="1"/>
    <filterColumn colId="2" hiddenButton="1"/>
    <filterColumn colId="3" hiddenButton="1"/>
  </autoFilter>
  <tableColumns count="4">
    <tableColumn id="1" xr3:uid="{963F1596-D9E9-44DE-84AF-83061B830ED9}" name="Tarih" dataDxfId="1"/>
    <tableColumn id="2" xr3:uid="{A6C725BF-725F-4025-82AD-FDACB3EEEE94}" name="Ürün Adı"/>
    <tableColumn id="3" xr3:uid="{B6018E34-C49F-44D4-9401-711A4B5202B3}" name="Giriş / Çıkış"/>
    <tableColumn id="4" xr3:uid="{7EBE1AD1-5F4E-42A1-B3BD-64DE563FF81C}" name="Ade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90AC5-4C90-4A81-8D38-53735CC65D0D}">
  <dimension ref="A2:G11"/>
  <sheetViews>
    <sheetView showGridLines="0" zoomScale="115" zoomScaleNormal="115" workbookViewId="0">
      <selection activeCell="G11" sqref="G11"/>
    </sheetView>
  </sheetViews>
  <sheetFormatPr defaultRowHeight="15" x14ac:dyDescent="0.25"/>
  <cols>
    <col min="1" max="1" width="25.5703125" style="1" customWidth="1"/>
    <col min="3" max="3" width="10" customWidth="1"/>
    <col min="4" max="4" width="11.85546875" customWidth="1"/>
    <col min="5" max="5" width="10" customWidth="1"/>
    <col min="6" max="6" width="12.85546875" customWidth="1"/>
    <col min="7" max="7" width="11.28515625" customWidth="1"/>
  </cols>
  <sheetData>
    <row r="2" spans="1:7" x14ac:dyDescent="0.25">
      <c r="C2" s="11" t="s">
        <v>1</v>
      </c>
      <c r="D2" s="11"/>
      <c r="E2" s="11"/>
      <c r="F2" s="11"/>
    </row>
    <row r="3" spans="1:7" ht="15.75" thickBot="1" x14ac:dyDescent="0.3">
      <c r="C3" s="12"/>
      <c r="D3" s="12"/>
      <c r="E3" s="12"/>
      <c r="F3" s="12"/>
    </row>
    <row r="5" spans="1:7" x14ac:dyDescent="0.25">
      <c r="A5" s="9" t="s">
        <v>0</v>
      </c>
      <c r="C5" s="4" t="s">
        <v>2</v>
      </c>
      <c r="D5" s="4" t="s">
        <v>21</v>
      </c>
      <c r="E5" s="4" t="s">
        <v>4</v>
      </c>
      <c r="F5" s="4" t="s">
        <v>3</v>
      </c>
      <c r="G5" s="4" t="s">
        <v>5</v>
      </c>
    </row>
    <row r="6" spans="1:7" x14ac:dyDescent="0.25">
      <c r="A6" s="10"/>
      <c r="C6" t="s">
        <v>6</v>
      </c>
      <c r="D6" s="3">
        <v>100</v>
      </c>
      <c r="E6" s="2">
        <v>0.6</v>
      </c>
      <c r="F6" s="3">
        <f t="shared" ref="F6:F11" si="0">D6*E6+D6</f>
        <v>160</v>
      </c>
      <c r="G6">
        <v>100</v>
      </c>
    </row>
    <row r="7" spans="1:7" x14ac:dyDescent="0.25">
      <c r="A7" s="10"/>
      <c r="C7" t="s">
        <v>7</v>
      </c>
      <c r="D7" s="3">
        <v>150</v>
      </c>
      <c r="E7" s="2">
        <v>1</v>
      </c>
      <c r="F7" s="3">
        <f t="shared" si="0"/>
        <v>300</v>
      </c>
      <c r="G7">
        <v>50</v>
      </c>
    </row>
    <row r="8" spans="1:7" x14ac:dyDescent="0.25">
      <c r="C8" t="s">
        <v>8</v>
      </c>
      <c r="D8" s="3">
        <v>60</v>
      </c>
      <c r="E8" s="2">
        <v>2</v>
      </c>
      <c r="F8" s="3">
        <f t="shared" si="0"/>
        <v>180</v>
      </c>
      <c r="G8">
        <v>250</v>
      </c>
    </row>
    <row r="9" spans="1:7" x14ac:dyDescent="0.25">
      <c r="C9" t="s">
        <v>13</v>
      </c>
      <c r="D9" s="3">
        <v>250</v>
      </c>
      <c r="E9" s="2">
        <v>0.48</v>
      </c>
      <c r="F9" s="3">
        <f t="shared" si="0"/>
        <v>370</v>
      </c>
      <c r="G9">
        <v>250</v>
      </c>
    </row>
    <row r="10" spans="1:7" x14ac:dyDescent="0.25">
      <c r="C10" t="s">
        <v>19</v>
      </c>
      <c r="D10" s="3">
        <v>300</v>
      </c>
      <c r="E10" s="2">
        <v>0.38</v>
      </c>
      <c r="F10" s="3">
        <f t="shared" si="0"/>
        <v>414</v>
      </c>
      <c r="G10">
        <v>150</v>
      </c>
    </row>
    <row r="11" spans="1:7" x14ac:dyDescent="0.25">
      <c r="C11" t="s">
        <v>27</v>
      </c>
      <c r="D11" s="3">
        <v>400</v>
      </c>
      <c r="E11" s="2">
        <v>1.5</v>
      </c>
      <c r="F11" s="3">
        <f t="shared" si="0"/>
        <v>1000</v>
      </c>
      <c r="G11">
        <v>50</v>
      </c>
    </row>
  </sheetData>
  <mergeCells count="2">
    <mergeCell ref="A5:A7"/>
    <mergeCell ref="C2:F3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540C3-C120-4336-83D2-26CA92BB3C4B}">
  <dimension ref="A2:F15"/>
  <sheetViews>
    <sheetView showGridLines="0" zoomScale="115" zoomScaleNormal="115" workbookViewId="0">
      <selection activeCell="F18" sqref="F18"/>
    </sheetView>
  </sheetViews>
  <sheetFormatPr defaultRowHeight="15" x14ac:dyDescent="0.25"/>
  <cols>
    <col min="1" max="1" width="25.5703125" style="1" customWidth="1"/>
    <col min="3" max="3" width="11.140625" bestFit="1" customWidth="1"/>
    <col min="4" max="4" width="11.85546875" customWidth="1"/>
    <col min="5" max="5" width="12.42578125" customWidth="1"/>
    <col min="6" max="6" width="12.85546875" customWidth="1"/>
    <col min="7" max="7" width="11.28515625" customWidth="1"/>
  </cols>
  <sheetData>
    <row r="2" spans="1:6" x14ac:dyDescent="0.25">
      <c r="C2" s="11" t="s">
        <v>9</v>
      </c>
      <c r="D2" s="11"/>
      <c r="E2" s="11"/>
      <c r="F2" s="11"/>
    </row>
    <row r="3" spans="1:6" ht="15.75" thickBot="1" x14ac:dyDescent="0.3">
      <c r="C3" s="12"/>
      <c r="D3" s="12"/>
      <c r="E3" s="12"/>
      <c r="F3" s="12"/>
    </row>
    <row r="5" spans="1:6" x14ac:dyDescent="0.25">
      <c r="A5" s="9" t="s">
        <v>0</v>
      </c>
      <c r="C5" s="4" t="s">
        <v>10</v>
      </c>
      <c r="D5" s="4" t="s">
        <v>2</v>
      </c>
      <c r="E5" s="4" t="s">
        <v>11</v>
      </c>
      <c r="F5" s="4" t="s">
        <v>12</v>
      </c>
    </row>
    <row r="6" spans="1:6" x14ac:dyDescent="0.25">
      <c r="A6" s="10"/>
      <c r="C6" s="5">
        <v>45729</v>
      </c>
      <c r="D6" t="s">
        <v>13</v>
      </c>
      <c r="E6" t="s">
        <v>14</v>
      </c>
      <c r="F6">
        <v>100</v>
      </c>
    </row>
    <row r="7" spans="1:6" x14ac:dyDescent="0.25">
      <c r="A7" s="10"/>
      <c r="C7" s="5">
        <v>45729</v>
      </c>
      <c r="D7" t="s">
        <v>6</v>
      </c>
      <c r="E7" t="s">
        <v>14</v>
      </c>
      <c r="F7">
        <v>600</v>
      </c>
    </row>
    <row r="8" spans="1:6" x14ac:dyDescent="0.25">
      <c r="C8" s="5">
        <v>45730</v>
      </c>
      <c r="D8" t="s">
        <v>8</v>
      </c>
      <c r="E8" t="s">
        <v>14</v>
      </c>
      <c r="F8">
        <v>800</v>
      </c>
    </row>
    <row r="9" spans="1:6" x14ac:dyDescent="0.25">
      <c r="C9" s="5">
        <v>45731</v>
      </c>
      <c r="D9" t="s">
        <v>8</v>
      </c>
      <c r="E9" t="s">
        <v>15</v>
      </c>
      <c r="F9">
        <v>1100</v>
      </c>
    </row>
    <row r="10" spans="1:6" x14ac:dyDescent="0.25">
      <c r="C10" s="5">
        <v>45732</v>
      </c>
      <c r="D10" t="s">
        <v>8</v>
      </c>
      <c r="E10" t="s">
        <v>14</v>
      </c>
      <c r="F10">
        <v>500</v>
      </c>
    </row>
    <row r="11" spans="1:6" x14ac:dyDescent="0.25">
      <c r="C11" s="5">
        <v>45732</v>
      </c>
      <c r="D11" t="s">
        <v>6</v>
      </c>
      <c r="E11" t="s">
        <v>15</v>
      </c>
      <c r="F11">
        <v>300</v>
      </c>
    </row>
    <row r="12" spans="1:6" x14ac:dyDescent="0.25">
      <c r="C12" s="5">
        <v>45733</v>
      </c>
      <c r="D12" t="s">
        <v>7</v>
      </c>
      <c r="E12" t="s">
        <v>14</v>
      </c>
      <c r="F12">
        <v>700</v>
      </c>
    </row>
    <row r="13" spans="1:6" x14ac:dyDescent="0.25">
      <c r="C13" s="5">
        <v>45733</v>
      </c>
      <c r="D13" t="s">
        <v>7</v>
      </c>
      <c r="E13" t="s">
        <v>15</v>
      </c>
      <c r="F13">
        <v>200</v>
      </c>
    </row>
    <row r="14" spans="1:6" x14ac:dyDescent="0.25">
      <c r="C14" s="5">
        <v>45734</v>
      </c>
      <c r="D14" t="s">
        <v>27</v>
      </c>
      <c r="E14" t="s">
        <v>14</v>
      </c>
      <c r="F14">
        <v>150</v>
      </c>
    </row>
    <row r="15" spans="1:6" x14ac:dyDescent="0.25">
      <c r="C15" s="5">
        <v>45735</v>
      </c>
      <c r="D15" t="s">
        <v>27</v>
      </c>
      <c r="E15" t="s">
        <v>15</v>
      </c>
      <c r="F15">
        <v>20</v>
      </c>
    </row>
  </sheetData>
  <mergeCells count="2">
    <mergeCell ref="C2:F3"/>
    <mergeCell ref="A5:A7"/>
  </mergeCells>
  <conditionalFormatting sqref="F6:F15">
    <cfRule type="expression" dxfId="4" priority="1">
      <formula>$E6="Çıkış"</formula>
    </cfRule>
    <cfRule type="expression" dxfId="3" priority="2">
      <formula>$E6="Giriş"</formula>
    </cfRule>
  </conditionalFormatting>
  <dataValidations count="2">
    <dataValidation type="list" allowBlank="1" showInputMessage="1" showErrorMessage="1" sqref="D6:D15" xr:uid="{AC9F797D-EC8A-4E1A-9858-B80B7875B53D}">
      <formula1>Ürünlerim</formula1>
    </dataValidation>
    <dataValidation type="list" allowBlank="1" showInputMessage="1" showErrorMessage="1" sqref="E6:E15" xr:uid="{346AA8B5-3E9C-472A-B783-50DC40BC57B9}">
      <formula1>"Giriş,Çıkış"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545E5-95F1-4CF1-9E34-E3EE38865B50}">
  <dimension ref="A2:F10"/>
  <sheetViews>
    <sheetView showGridLines="0" zoomScale="115" zoomScaleNormal="115" workbookViewId="0">
      <selection activeCell="E10" sqref="E10"/>
    </sheetView>
  </sheetViews>
  <sheetFormatPr defaultRowHeight="15" x14ac:dyDescent="0.25"/>
  <cols>
    <col min="1" max="1" width="25.5703125" style="1" customWidth="1"/>
    <col min="3" max="3" width="25.85546875" customWidth="1"/>
    <col min="4" max="4" width="14.7109375" customWidth="1"/>
    <col min="5" max="5" width="12.42578125" customWidth="1"/>
    <col min="6" max="6" width="12.85546875" customWidth="1"/>
    <col min="7" max="7" width="11.28515625" customWidth="1"/>
  </cols>
  <sheetData>
    <row r="2" spans="1:6" x14ac:dyDescent="0.25">
      <c r="C2" s="11" t="s">
        <v>16</v>
      </c>
      <c r="D2" s="11"/>
      <c r="E2" s="11"/>
      <c r="F2" s="11"/>
    </row>
    <row r="3" spans="1:6" ht="15.75" thickBot="1" x14ac:dyDescent="0.3">
      <c r="C3" s="12"/>
      <c r="D3" s="12"/>
      <c r="E3" s="12"/>
      <c r="F3" s="12"/>
    </row>
    <row r="5" spans="1:6" x14ac:dyDescent="0.25">
      <c r="A5" s="9" t="s">
        <v>0</v>
      </c>
      <c r="C5" s="4" t="s">
        <v>17</v>
      </c>
      <c r="D5" s="4" t="s">
        <v>18</v>
      </c>
    </row>
    <row r="6" spans="1:6" x14ac:dyDescent="0.25">
      <c r="A6" s="10"/>
      <c r="C6" s="6" t="s">
        <v>2</v>
      </c>
      <c r="D6" s="6" t="s">
        <v>27</v>
      </c>
    </row>
    <row r="7" spans="1:6" x14ac:dyDescent="0.25">
      <c r="A7" s="10"/>
      <c r="C7" t="s">
        <v>5</v>
      </c>
      <c r="D7">
        <f>VLOOKUP(D6,Tablo1[#All],5,FALSE)</f>
        <v>50</v>
      </c>
    </row>
    <row r="8" spans="1:6" x14ac:dyDescent="0.25">
      <c r="C8" t="s">
        <v>20</v>
      </c>
      <c r="D8" cm="1">
        <f t="array" ref="D8">SUM(IF(Tablo3[Ürün Adı]='Sorgu Penceresi'!D6,IF(Tablo3[Giriş / Çıkış]="Giriş",Tablo3[Adet])))-SUM(IF(Tablo3[Ürün Adı]='Sorgu Penceresi'!D6,IF(Tablo3[Giriş / Çıkış]="Çıkış",Tablo3[Adet])))</f>
        <v>130</v>
      </c>
    </row>
    <row r="9" spans="1:6" x14ac:dyDescent="0.25">
      <c r="C9" t="s">
        <v>22</v>
      </c>
      <c r="D9" s="3">
        <f>VLOOKUP(D6,Tablo1[#All],4,FALSE)*D8</f>
        <v>130000</v>
      </c>
    </row>
    <row r="10" spans="1:6" x14ac:dyDescent="0.25">
      <c r="C10" s="5"/>
    </row>
  </sheetData>
  <mergeCells count="2">
    <mergeCell ref="C2:F3"/>
    <mergeCell ref="A5:A7"/>
  </mergeCells>
  <conditionalFormatting sqref="D8">
    <cfRule type="expression" dxfId="0" priority="1">
      <formula>$D$8&lt;$D$7</formula>
    </cfRule>
  </conditionalFormatting>
  <dataValidations count="1">
    <dataValidation type="list" allowBlank="1" showInputMessage="1" showErrorMessage="1" sqref="D6" xr:uid="{AE011EA7-A67B-4BE8-9F85-49C5165AAE14}">
      <formula1>Ürünlerim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1A400-C0C7-421E-AFD4-7F25E7794E62}">
  <dimension ref="A2:F12"/>
  <sheetViews>
    <sheetView showGridLines="0" tabSelected="1" zoomScale="115" zoomScaleNormal="115" workbookViewId="0">
      <selection activeCell="C6" sqref="C6"/>
    </sheetView>
  </sheetViews>
  <sheetFormatPr defaultRowHeight="15" x14ac:dyDescent="0.25"/>
  <cols>
    <col min="1" max="1" width="25.5703125" style="1" customWidth="1"/>
    <col min="3" max="3" width="16.28515625" bestFit="1" customWidth="1"/>
    <col min="4" max="4" width="12.140625" bestFit="1" customWidth="1"/>
    <col min="5" max="5" width="5.28515625" bestFit="1" customWidth="1"/>
    <col min="6" max="6" width="13.5703125" bestFit="1" customWidth="1"/>
    <col min="7" max="7" width="11.28515625" customWidth="1"/>
  </cols>
  <sheetData>
    <row r="2" spans="1:6" x14ac:dyDescent="0.25">
      <c r="C2" s="11" t="s">
        <v>23</v>
      </c>
      <c r="D2" s="11"/>
      <c r="E2" s="11"/>
      <c r="F2" s="11"/>
    </row>
    <row r="3" spans="1:6" ht="15.75" thickBot="1" x14ac:dyDescent="0.3">
      <c r="C3" s="12"/>
      <c r="D3" s="12"/>
      <c r="E3" s="12"/>
      <c r="F3" s="12"/>
    </row>
    <row r="5" spans="1:6" x14ac:dyDescent="0.25">
      <c r="A5" s="9" t="s">
        <v>0</v>
      </c>
    </row>
    <row r="6" spans="1:6" x14ac:dyDescent="0.25">
      <c r="A6" s="10"/>
      <c r="C6" s="7" t="s">
        <v>24</v>
      </c>
      <c r="D6" t="s">
        <v>26</v>
      </c>
    </row>
    <row r="7" spans="1:6" x14ac:dyDescent="0.25">
      <c r="A7" s="10"/>
      <c r="C7" s="8" t="s">
        <v>6</v>
      </c>
      <c r="D7" s="13">
        <v>900</v>
      </c>
    </row>
    <row r="8" spans="1:6" x14ac:dyDescent="0.25">
      <c r="C8" s="8" t="s">
        <v>7</v>
      </c>
      <c r="D8" s="13">
        <v>900</v>
      </c>
    </row>
    <row r="9" spans="1:6" x14ac:dyDescent="0.25">
      <c r="C9" s="8" t="s">
        <v>8</v>
      </c>
      <c r="D9" s="13">
        <v>2400</v>
      </c>
    </row>
    <row r="10" spans="1:6" x14ac:dyDescent="0.25">
      <c r="C10" s="8" t="s">
        <v>13</v>
      </c>
      <c r="D10" s="13">
        <v>100</v>
      </c>
    </row>
    <row r="11" spans="1:6" x14ac:dyDescent="0.25">
      <c r="C11" s="8" t="s">
        <v>27</v>
      </c>
      <c r="D11" s="13">
        <v>170</v>
      </c>
    </row>
    <row r="12" spans="1:6" x14ac:dyDescent="0.25">
      <c r="C12" s="8" t="s">
        <v>25</v>
      </c>
      <c r="D12" s="13">
        <v>4470</v>
      </c>
    </row>
  </sheetData>
  <mergeCells count="2">
    <mergeCell ref="C2:F3"/>
    <mergeCell ref="A5:A7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3</vt:i4>
      </vt:variant>
    </vt:vector>
  </HeadingPairs>
  <TitlesOfParts>
    <vt:vector size="7" baseType="lpstr">
      <vt:lpstr>Ürünlerim</vt:lpstr>
      <vt:lpstr>Stok Hareketlerim</vt:lpstr>
      <vt:lpstr>Sorgu Penceresi</vt:lpstr>
      <vt:lpstr>Rapor</vt:lpstr>
      <vt:lpstr>Rapor!Ürünlerim</vt:lpstr>
      <vt:lpstr>'Sorgu Penceresi'!Ürünlerim</vt:lpstr>
      <vt:lpstr>Ürünlerim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SAMET ÇAKMAK</dc:creator>
  <cp:lastModifiedBy>SAMET ÇAKMAK</cp:lastModifiedBy>
  <dcterms:created xsi:type="dcterms:W3CDTF">2025-03-15T12:59:53Z</dcterms:created>
  <dcterms:modified xsi:type="dcterms:W3CDTF">2025-03-16T02:44:56Z</dcterms:modified>
</cp:coreProperties>
</file>